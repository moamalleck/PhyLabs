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Revenue" state="visible" r:id="rId6"/>
    <sheet sheetId="4" name="Cost of Sales" state="visible" r:id="rId7"/>
    <sheet sheetId="5" name="OpEx" state="visible" r:id="rId8"/>
    <sheet sheetId="6" name="Cash Flow" state="visible" r:id="rId9"/>
  </sheets>
  <calcPr calcId="171027"/>
</workbook>
</file>

<file path=xl/sharedStrings.xml><?xml version="1.0" encoding="utf-8"?>
<sst xmlns="http://schemas.openxmlformats.org/spreadsheetml/2006/main" count="252" uniqueCount="183">
  <si>
    <t>PhysicianLabs — 18-Month Financial Model</t>
  </si>
  <si>
    <t>Expense-focused cash-needs model · Concierge Hybrid revenue motion · Prepared 2026-06-30</t>
  </si>
  <si>
    <t>KEY RESULTS (18 months: Jul 2026 – Dec 2027)</t>
  </si>
  <si>
    <t>Total revenue (18-mo target ≥ $1,000,000)</t>
  </si>
  <si>
    <t>Total cost of sales</t>
  </si>
  <si>
    <t>Total operating expenses (incl. founder draw + setup)</t>
  </si>
  <si>
    <t>Net cash generated over 18 months</t>
  </si>
  <si>
    <t>PEAK CUMULATIVE CASH NEED (financing required)</t>
  </si>
  <si>
    <t>Month of deepest cash position</t>
  </si>
  <si>
    <t>Cash-flow breakeven (first net-positive month)</t>
  </si>
  <si>
    <t>Ending cash position (Month 18)</t>
  </si>
  <si>
    <t>Total paying program customers acquired</t>
  </si>
  <si>
    <t>Blended gross margin</t>
  </si>
  <si>
    <t>HOW THIS MODEL WORKS</t>
  </si>
  <si>
    <t>• Driver-based: change any blue input on the Assumptions tab and the whole model updates.</t>
  </si>
  <si>
    <t>• Revenue tab builds the 18-month forecast from the locked Concierge Hybrid motion:</t>
  </si>
  <si>
    <t xml:space="preserve">   $1,000 money-back PoC → Transition Program ($8K founding / $22K standard) → $599–$799/mo.</t>
  </si>
  <si>
    <t>• Cost of Sales = expenses that scale with revenue (payment fees, delivery contractors,</t>
  </si>
  <si>
    <t xml:space="preserve">   per-customer hosting). Delivery contractor cost is the "ahead-of-revenue" capacity lever.</t>
  </si>
  <si>
    <t>• OpEx = recurring overhead in standard categories, grown monthly, plus the founder living</t>
  </si>
  <si>
    <t xml:space="preserve">   draw and one-time Founder Institute + incorporation setup costs.</t>
  </si>
  <si>
    <t>• Cash Flow tab nets it all and surfaces the peak cumulative cash need — the money you must</t>
  </si>
  <si>
    <t xml:space="preserve">   have on hand (founder-funded or raised) to bridge to self-funding revenue.</t>
  </si>
  <si>
    <t>COLOR LEGEND</t>
  </si>
  <si>
    <t>Blue = input you can change</t>
  </si>
  <si>
    <t>Black = formula</t>
  </si>
  <si>
    <t>Green = link from another tab</t>
  </si>
  <si>
    <t>Yellow = headline cash number</t>
  </si>
  <si>
    <t>SOURCES &amp; GROUNDING</t>
  </si>
  <si>
    <t>Revenue model: memory "project-one-revenue-model-jun2026" (Concierge Hybrid, locked 2026-06-20).</t>
  </si>
  <si>
    <t>Pricing ladder &amp; $1M/18-mo reconciliation: docs/business-development/business-plan.md → Pricing Architecture.</t>
  </si>
  <si>
    <t>Price points &amp; cohort: docs/customer-development/revenue-interview-pricing-guide-2026-06-20.md.</t>
  </si>
  <si>
    <t>Timing / sales cycle: docs/business-development/buyer-journey-2026-06-20.md (short cycle, revenue in 14–30 days).</t>
  </si>
  <si>
    <t>Founder Institute entrance fee ~$799–$999 + 2.5% equity warrant (non-cash): fi.co/core, fi.co/faq (June 2026).</t>
  </si>
  <si>
    <t>Expenses-to-date inferred from tools in use (AI/dev subscription, domain physicianlab.com, FI program) —</t>
  </si>
  <si>
    <t>no formal expense ledger exists in the repo; setup costs grounded to FI + standard US incorporation.</t>
  </si>
  <si>
    <t>NOTE: This is a planning model, not accounting or investment advice. The peak cash need assumes the documented fast PoC→program conversion; if the first program slips a month or two, or the founder draw rises, the cash need deepens — flex the Assumptions tab to stress it.</t>
  </si>
  <si>
    <t>Assumptions — all blue cells are inputs you can change</t>
  </si>
  <si>
    <t>Driver</t>
  </si>
  <si>
    <t>Value</t>
  </si>
  <si>
    <t>Note</t>
  </si>
  <si>
    <t>REVENUE DRIVERS</t>
  </si>
  <si>
    <t>PoC price (one-time, money-back)</t>
  </si>
  <si>
    <t>Validated entry offer; refunded if &lt;$20K recoverable found</t>
  </si>
  <si>
    <t>Transition Program — Founding (first 10)</t>
  </si>
  <si>
    <t>Founding-cohort price, first 10 customers</t>
  </si>
  <si>
    <t>Transition Program — Standard</t>
  </si>
  <si>
    <t>Standard list price; ~40–46 customers ≈ $1M / 18 mo</t>
  </si>
  <si>
    <t>Subscription — Founding ($/mo)</t>
  </si>
  <si>
    <t>Founder rate, locked for life</t>
  </si>
  <si>
    <t>Subscription — Standard ($/mo)</t>
  </si>
  <si>
    <t>Standard recurring tier</t>
  </si>
  <si>
    <t>Founding-cohort cap (customers)</t>
  </si>
  <si>
    <t>First 10 get the $8K founding price; rest pay standard</t>
  </si>
  <si>
    <t>PoC → Program conversion rate</t>
  </si>
  <si>
    <t>Share of PoC buyers who buy the program</t>
  </si>
  <si>
    <t>PoC refund / decline rate</t>
  </si>
  <si>
    <t>Money-back PoCs that get refunded</t>
  </si>
  <si>
    <t>Monthly subscription churn</t>
  </si>
  <si>
    <t>Plan target &lt;2%/mo</t>
  </si>
  <si>
    <t>COST OF SALES DRIVERS (scale with revenue)</t>
  </si>
  <si>
    <t>Payment processing — % of revenue</t>
  </si>
  <si>
    <t>Stripe ~2.9%</t>
  </si>
  <si>
    <t>Payment processing — $/transaction</t>
  </si>
  <si>
    <t>Stripe ~$0.30 per charge</t>
  </si>
  <si>
    <t>Delivery contractor cost / Founding program</t>
  </si>
  <si>
    <t>Fractional credentialing/billing help</t>
  </si>
  <si>
    <t>Delivery contractor cost / Standard program</t>
  </si>
  <si>
    <t>Done-for-you delivery labor (ahead-of-revenue lever)</t>
  </si>
  <si>
    <t>PoC audit direct cost / PoC</t>
  </si>
  <si>
    <t>Data pulls / tooling per 90-min audit</t>
  </si>
  <si>
    <t>Hosting &amp; support / active subscriber / mo</t>
  </si>
  <si>
    <t>Keeps SaaS-tier gross margin &gt;90%</t>
  </si>
  <si>
    <t>OPERATING EXPENSE DRIVERS (recurring overhead)</t>
  </si>
  <si>
    <t>Founder living draw ($/mo)</t>
  </si>
  <si>
    <t>Your personal living expenses — biggest cash lever</t>
  </si>
  <si>
    <t>Software &amp; subscriptions — base $/mo</t>
  </si>
  <si>
    <t>AI/dev (Claude), Workspace, CRM, accounting, hosting</t>
  </si>
  <si>
    <t>Software &amp; subscriptions — monthly growth</t>
  </si>
  <si>
    <t>Compounding tool spend as usage grows</t>
  </si>
  <si>
    <t>Sales &amp; marketing — base $/mo</t>
  </si>
  <si>
    <t>Content, community, case studies, light ads, travel</t>
  </si>
  <si>
    <t>Sales &amp; marketing — monthly growth</t>
  </si>
  <si>
    <t>Scales ahead of revenue to build pipeline</t>
  </si>
  <si>
    <t>Accounting &amp; bookkeeping ($/mo)</t>
  </si>
  <si>
    <t>Bookkeeping + tax prep amortized</t>
  </si>
  <si>
    <t>Insurance — E&amp;O / professional liability ($/mo)</t>
  </si>
  <si>
    <t>Needed: advisory / done-for-you financial work</t>
  </si>
  <si>
    <t>Insurance start month (#)</t>
  </si>
  <si>
    <t>Starts once first program client signs</t>
  </si>
  <si>
    <t>Office / admin / misc ($/mo)</t>
  </si>
  <si>
    <t>Bank fees, phone, contingency</t>
  </si>
  <si>
    <t>Contract admin / VA ($/mo)</t>
  </si>
  <si>
    <t>Part-time ops support as volume grows</t>
  </si>
  <si>
    <t>Contract admin / VA start month (#)</t>
  </si>
  <si>
    <t>Added when delivery load exceeds founder capacity</t>
  </si>
  <si>
    <t>ONE-TIME BUSINESS SETUP (Founder Institute + incorporation)</t>
  </si>
  <si>
    <t>Founder Institute entrance fee</t>
  </si>
  <si>
    <t>~$799 early / $999 late (fi.co); refundable pre-Rev&amp;BizModels session</t>
  </si>
  <si>
    <t>Incorporation (Stripe Atlas / C-corp filing)</t>
  </si>
  <si>
    <t>Delaware C-corp via Stripe Atlas (~$500)</t>
  </si>
  <si>
    <t>Registered agent (annual)</t>
  </si>
  <si>
    <t>Required for the entity</t>
  </si>
  <si>
    <t>Legal templates (MSA, money-back terms, advisor agts)</t>
  </si>
  <si>
    <t>Contracts to charge PoC + program safely</t>
  </si>
  <si>
    <t>Legal templates spend month (#)</t>
  </si>
  <si>
    <t>Before first program closes</t>
  </si>
  <si>
    <t>Note: Founder Institute also takes a 2.5% equity warrant (non-cash) — excluded from this cash model.</t>
  </si>
  <si>
    <t>Revenue Forecast — Concierge Hybrid (PoC → Program → Subscription)</t>
  </si>
  <si>
    <t>Month</t>
  </si>
  <si>
    <t>Period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</si>
  <si>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</si>
  <si>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</si>
  <si>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</si>
  <si>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</si>
  <si>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</si>
  <si>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</si>
  <si>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</si>
  <si>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</si>
  <si>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</si>
  <si>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</si>
  <si>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</si>
  <si>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</si>
  <si>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</si>
  <si>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</si>
  <si>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</si>
  <si>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</si>
  <si>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</si>
  <si>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</si>
  <si>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CUSTOMERS</t>
  </si>
  <si>
    <t>New program customers / month</t>
  </si>
  <si>
    <t>Cumulative customers</t>
  </si>
  <si>
    <t xml:space="preserve">   of which — Founding (≤ cap)</t>
  </si>
  <si>
    <t xml:space="preserve">   of which — Standard</t>
  </si>
  <si>
    <t>PROOF-OF-CONCEPT (entry offer)</t>
  </si>
  <si>
    <t>New PoCs sold</t>
  </si>
  <si>
    <t>PoC gross revenue</t>
  </si>
  <si>
    <t>PoC refunds</t>
  </si>
  <si>
    <t>PoC net revenue</t>
  </si>
  <si>
    <t>TRANSITION PROGRAM (one-time, done-for-you)</t>
  </si>
  <si>
    <t>Program revenue — Founding</t>
  </si>
  <si>
    <t>Program revenue — Standard</t>
  </si>
  <si>
    <t>Total program revenue</t>
  </si>
  <si>
    <t>SUBSCRIPTION (recurring, starts month after signup)</t>
  </si>
  <si>
    <t xml:space="preserve">   New founding subs (lag 1 mo)</t>
  </si>
  <si>
    <t xml:space="preserve">   Active founding subscribers</t>
  </si>
  <si>
    <t xml:space="preserve">   New standard subs (lag 1 mo)</t>
  </si>
  <si>
    <t xml:space="preserve">   Active standard subscribers</t>
  </si>
  <si>
    <t>Subscription MRR</t>
  </si>
  <si>
    <t>TOTAL REVENUE</t>
  </si>
  <si>
    <t>Total revenue</t>
  </si>
  <si>
    <t>Cumulative revenue</t>
  </si>
  <si>
    <t>$1M check: total 18-mo revenue = $1,125,577 (target ≥ $1,000,000)</t>
  </si>
  <si>
    <t>Cost of Sales (COGS) — expenses that scale with / ahead of revenue</t>
  </si>
  <si>
    <t>COST OF SALES</t>
  </si>
  <si>
    <t>Payment processing (Stripe)</t>
  </si>
  <si>
    <t>Delivery contractors (done-for-you)</t>
  </si>
  <si>
    <t>PoC audit direct cost</t>
  </si>
  <si>
    <t>Hosting &amp; support (per subscriber)</t>
  </si>
  <si>
    <t>GROSS PROFIT</t>
  </si>
  <si>
    <t>Revenue</t>
  </si>
  <si>
    <t>Gross profit</t>
  </si>
  <si>
    <t>Gross margin %</t>
  </si>
  <si>
    <t>Operating Expenses — recurring overhead, founder draw &amp; one-time setup</t>
  </si>
  <si>
    <t>OPERATING EXPENSES (standard categories)</t>
  </si>
  <si>
    <t>Founder living draw</t>
  </si>
  <si>
    <t>Software &amp; subscriptions</t>
  </si>
  <si>
    <t>Sales &amp; marketing</t>
  </si>
  <si>
    <t>Accounting &amp; bookkeeping</t>
  </si>
  <si>
    <t>Insurance (E&amp;O / liability)</t>
  </si>
  <si>
    <t>Office / admin / misc</t>
  </si>
  <si>
    <t>Contract admin / VA</t>
  </si>
  <si>
    <t>Founder Institute &amp; business setup (one-time)</t>
  </si>
  <si>
    <t>Total operating expenses</t>
  </si>
  <si>
    <t>Cash Flow &amp; Cash Needs — what the business burns and generates</t>
  </si>
  <si>
    <t>MONTHLY CASH FLOW</t>
  </si>
  <si>
    <t>Less: cost of sales</t>
  </si>
  <si>
    <t>Less: operating expenses</t>
  </si>
  <si>
    <t>Net cash flow</t>
  </si>
  <si>
    <t>Cumulative cash position</t>
  </si>
  <si>
    <t>SUMMARY — 18-MONTH CASH NEEDS</t>
  </si>
  <si>
    <t>Net cash generated (18 mo)</t>
  </si>
  <si>
    <t>Peak cumulative cash need (financing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</si>
</sst>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$#,##0;($#,##0);&quot;-&quot;"/>
    <numFmt numFmtId="165" formatCode="&quot;Month &quot;0"/>
    <numFmt numFmtId="166" formatCode="#,##0;(#,##0);&quot;-&quot;"/>
    <numFmt numFmtId="167" formatCode="0.0%"/>
    <numFmt numFmtId="168" formatCode="$#,##0.00;($#,##0.00);&quot;-&quot;"/>
    <numFmt numFmtId="169" formatCode="#,##0.0;(#,##0.0);&quot;-&quot;"/>
  </numFmts>
  <fonts count="19" x14ac:knownFonts="1">
    <font>
      <color theme="1"/>
      <family val="2"/>
      <scheme val="minor"/>
      <sz val="11"/>
      <name val="Calibri"/>
    </font>
    <font>
      <b/>
      <color rgb="FF1F3864"/>
      <sz val="18"/>
      <name val="Arial"/>
    </font>
    <font>
      <i/>
      <color rgb="FF595959"/>
      <sz val="10"/>
      <name val="Arial"/>
    </font>
    <font>
      <b/>
      <color rgb="FFFFFFFF"/>
      <sz val="10"/>
      <name val="Arial"/>
    </font>
    <font>
      <color rgb="FF000000"/>
      <sz val="10"/>
      <name val="Arial"/>
    </font>
    <font>
      <color rgb="FF008000"/>
      <sz val="10"/>
      <name val="Arial"/>
    </font>
    <font>
      <b/>
      <color rgb="FF000000"/>
      <sz val="10"/>
      <name val="Arial"/>
    </font>
    <font>
      <b/>
      <color rgb="FF008000"/>
      <sz val="10"/>
      <name val="Arial"/>
    </font>
    <font>
      <b/>
      <color rgb="FF1F3864"/>
      <sz val="10"/>
      <name val="Arial"/>
    </font>
    <font>
      <color rgb="FF000000"/>
      <sz val="9"/>
      <name val="Arial"/>
    </font>
    <font>
      <color rgb="FF0000FF"/>
      <sz val="9"/>
      <name val="Arial"/>
    </font>
    <font>
      <color rgb="FF008000"/>
      <sz val="9"/>
      <name val="Arial"/>
    </font>
    <font>
      <i/>
      <color rgb="FF000000"/>
      <sz val="9"/>
      <name val="Arial"/>
    </font>
    <font>
      <i/>
      <color rgb="FF595959"/>
      <sz val="8"/>
      <name val="Arial"/>
    </font>
    <font>
      <b/>
      <color rgb="FF1F3864"/>
      <sz val="13"/>
      <name val="Arial"/>
    </font>
    <font>
      <color rgb="FF0000FF"/>
      <sz val="10"/>
      <name val="Arial"/>
    </font>
    <font>
      <i/>
      <color rgb="FF595959"/>
      <sz val="9"/>
      <name val="Arial"/>
    </font>
    <font>
      <b/>
      <color rgb="FF1F3864"/>
      <sz val="14"/>
      <name val="Arial"/>
    </font>
    <font>
      <i/>
      <color rgb="FF008000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64" fontId="5" fillId="0" borderId="0" xfId="0" applyNumberFormat="1" applyFont="1" applyAlignment="1">
      <alignment horizontal="right"/>
    </xf>
    <xf numFmtId="0" fontId="6" fillId="3" borderId="0" xfId="0" applyFont="1" applyFill="1"/>
    <xf numFmtId="164" fontId="7" fillId="3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3" borderId="0" xfId="0" applyFont="1" applyFill="1"/>
    <xf numFmtId="0" fontId="12" fillId="0" borderId="0" xfId="0" applyFont="1"/>
    <xf numFmtId="0" fontId="13" fillId="0" borderId="0" xfId="0" applyFont="1" applyAlignment="1">
      <alignment vertical="top" wrapText="1"/>
    </xf>
    <xf numFmtId="0" fontId="14" fillId="0" borderId="0" xfId="0" applyFont="1"/>
    <xf numFmtId="0" fontId="3" fillId="2" borderId="0" xfId="0" applyFont="1" applyFill="1" applyAlignment="1">
      <alignment horizontal="center"/>
    </xf>
    <xf numFmtId="164" fontId="15" fillId="0" borderId="0" xfId="0" applyNumberFormat="1" applyFont="1" applyAlignment="1">
      <alignment horizontal="center"/>
    </xf>
    <xf numFmtId="0" fontId="16" fillId="0" borderId="0" xfId="0" applyFont="1"/>
    <xf numFmtId="164" fontId="15" fillId="3" borderId="0" xfId="0" applyNumberFormat="1" applyFont="1" applyFill="1" applyAlignment="1">
      <alignment horizontal="center"/>
    </xf>
    <xf numFmtId="166" fontId="15" fillId="0" borderId="0" xfId="0" applyNumberFormat="1" applyFont="1" applyAlignment="1">
      <alignment horizontal="center"/>
    </xf>
    <xf numFmtId="167" fontId="15" fillId="3" borderId="0" xfId="0" applyNumberFormat="1" applyFont="1" applyFill="1" applyAlignment="1">
      <alignment horizontal="center"/>
    </xf>
    <xf numFmtId="167" fontId="15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17" fillId="0" borderId="0" xfId="0" applyFont="1"/>
    <xf numFmtId="165" fontId="3" fillId="2" borderId="0" xfId="0" applyNumberFormat="1" applyFont="1" applyFill="1" applyAlignment="1">
      <alignment horizontal="center"/>
    </xf>
    <xf numFmtId="166" fontId="15" fillId="0" borderId="0" xfId="0" applyNumberFormat="1" applyFont="1" applyAlignment="1">
      <alignment horizontal="right"/>
    </xf>
    <xf numFmtId="0" fontId="6" fillId="0" borderId="0" xfId="0" applyFont="1"/>
    <xf numFmtId="166" fontId="6" fillId="0" borderId="0" xfId="0" applyNumberFormat="1" applyFont="1"/>
    <xf numFmtId="166" fontId="4" fillId="0" borderId="0" xfId="0" applyNumberFormat="1" applyFont="1" applyAlignment="1">
      <alignment indent="1"/>
    </xf>
    <xf numFmtId="166" fontId="4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9" fontId="4" fillId="0" borderId="0" xfId="0" applyNumberFormat="1" applyFont="1"/>
    <xf numFmtId="0" fontId="6" fillId="4" borderId="0" xfId="0" applyFont="1" applyFill="1"/>
    <xf numFmtId="164" fontId="6" fillId="4" borderId="0" xfId="0" applyNumberFormat="1" applyFont="1" applyFill="1"/>
    <xf numFmtId="0" fontId="18" fillId="0" borderId="0" xfId="0" applyFont="1"/>
    <xf numFmtId="164" fontId="5" fillId="0" borderId="0" xfId="0" applyNumberFormat="1" applyFont="1"/>
    <xf numFmtId="167" fontId="6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3"/>
  <sheetFormatPr defaultRowHeight="15" outlineLevelRow="0" outlineLevelCol="0" x14ac:dyDescent="55"/>
  <cols>
    <col min="1" max="1" width="4" customWidth="1"/>
    <col min="2" max="2" width="52" customWidth="1"/>
    <col min="3" max="3" width="20" customWidth="1"/>
    <col min="4" max="4" width="46" customWidth="1"/>
  </cols>
  <sheetData>
    <row r="2" spans="2:4" x14ac:dyDescent="0.25">
      <c r="B2" s="1" t="s">
        <v>0</v>
      </c>
      <c r="C2" s="1"/>
      <c r="D2" s="1"/>
    </row>
    <row r="3" spans="2:4" x14ac:dyDescent="0.25">
      <c r="B3" s="2" t="s">
        <v>1</v>
      </c>
      <c r="C3" s="2"/>
      <c r="D3" s="2"/>
    </row>
    <row r="5" spans="2:3" x14ac:dyDescent="0.25">
      <c r="B5" s="3" t="s">
        <v>2</v>
      </c>
      <c r="C5" s="4"/>
    </row>
    <row r="6" spans="2:3" x14ac:dyDescent="0.25">
      <c r="B6" s="5" t="s">
        <v>3</v>
      </c>
      <c r="C6" s="6">
        <f>'Cash Flow'!B18</f>
        <v>1125577.3415323605</v>
      </c>
    </row>
    <row r="7" spans="2:3" x14ac:dyDescent="0.25">
      <c r="B7" s="5" t="s">
        <v>4</v>
      </c>
      <c r="C7" s="6">
        <f>'Cash Flow'!B19</f>
        <v>288452.0340714824</v>
      </c>
    </row>
    <row r="8" spans="2:3" x14ac:dyDescent="0.25">
      <c r="B8" s="5" t="s">
        <v>5</v>
      </c>
      <c r="C8" s="6">
        <f>'Cash Flow'!B20</f>
        <v>149233.76778327874</v>
      </c>
    </row>
    <row r="9" spans="2:3" x14ac:dyDescent="0.25">
      <c r="B9" s="5" t="s">
        <v>6</v>
      </c>
      <c r="C9" s="6">
        <f>'Cash Flow'!B21</f>
        <v>687891.5396775994</v>
      </c>
    </row>
    <row r="10" spans="2:3" x14ac:dyDescent="0.25">
      <c r="B10" s="7" t="s">
        <v>7</v>
      </c>
      <c r="C10" s="8">
        <f>'Cash Flow'!B22</f>
        <v>17511.665</v>
      </c>
    </row>
    <row r="11" spans="2:3" x14ac:dyDescent="0.25">
      <c r="B11" s="5" t="s">
        <v>8</v>
      </c>
      <c r="C11" s="9">
        <f>'Cash Flow'!B23</f>
        <v>3</v>
      </c>
    </row>
    <row r="12" spans="2:3" x14ac:dyDescent="0.25">
      <c r="B12" s="5" t="s">
        <v>9</v>
      </c>
      <c r="C12" s="9">
        <f>'Cash Flow'!B24</f>
        <v>4</v>
      </c>
    </row>
    <row r="13" spans="2:3" x14ac:dyDescent="0.25">
      <c r="B13" s="5" t="s">
        <v>10</v>
      </c>
      <c r="C13" s="6">
        <f>'Cash Flow'!B25</f>
        <v>687891.5396775994</v>
      </c>
    </row>
    <row r="14" spans="2:3" x14ac:dyDescent="0.25">
      <c r="B14" s="5" t="s">
        <v>11</v>
      </c>
      <c r="C14" s="10">
        <f>Revenue!S6</f>
        <v>46</v>
      </c>
    </row>
    <row r="15" spans="2:3" x14ac:dyDescent="0.25">
      <c r="B15" s="5" t="s">
        <v>12</v>
      </c>
      <c r="C15" s="11">
        <f>('Cash Flow'!B18-'Cash Flow'!B19)/'Cash Flow'!B18</f>
        <v>0.743729707921462</v>
      </c>
    </row>
    <row r="17" spans="2:2" x14ac:dyDescent="0.25">
      <c r="B17" s="12" t="s">
        <v>13</v>
      </c>
    </row>
    <row r="18" spans="2:4" x14ac:dyDescent="0.25">
      <c r="B18" s="13" t="s">
        <v>14</v>
      </c>
      <c r="C18" s="13"/>
      <c r="D18" s="13"/>
    </row>
    <row r="19" spans="2:4" x14ac:dyDescent="0.25">
      <c r="B19" s="13" t="s">
        <v>15</v>
      </c>
      <c r="C19" s="13"/>
      <c r="D19" s="13"/>
    </row>
    <row r="20" spans="2:4" x14ac:dyDescent="0.25">
      <c r="B20" s="13" t="s">
        <v>16</v>
      </c>
      <c r="C20" s="13"/>
      <c r="D20" s="13"/>
    </row>
    <row r="21" spans="2:4" x14ac:dyDescent="0.25">
      <c r="B21" s="13" t="s">
        <v>17</v>
      </c>
      <c r="C21" s="13"/>
      <c r="D21" s="13"/>
    </row>
    <row r="22" spans="2:4" x14ac:dyDescent="0.25">
      <c r="B22" s="13" t="s">
        <v>18</v>
      </c>
      <c r="C22" s="13"/>
      <c r="D22" s="13"/>
    </row>
    <row r="23" spans="2:4" x14ac:dyDescent="0.25">
      <c r="B23" s="13" t="s">
        <v>19</v>
      </c>
      <c r="C23" s="13"/>
      <c r="D23" s="13"/>
    </row>
    <row r="24" spans="2:4" x14ac:dyDescent="0.25">
      <c r="B24" s="13" t="s">
        <v>20</v>
      </c>
      <c r="C24" s="13"/>
      <c r="D24" s="13"/>
    </row>
    <row r="25" spans="2:4" x14ac:dyDescent="0.25">
      <c r="B25" s="13" t="s">
        <v>21</v>
      </c>
      <c r="C25" s="13"/>
      <c r="D25" s="13"/>
    </row>
    <row r="26" spans="2:4" x14ac:dyDescent="0.25">
      <c r="B26" s="13" t="s">
        <v>22</v>
      </c>
      <c r="C26" s="13"/>
      <c r="D26" s="13"/>
    </row>
    <row r="28" spans="2:2" x14ac:dyDescent="0.25">
      <c r="B28" s="12" t="s">
        <v>23</v>
      </c>
    </row>
    <row r="29" spans="2:3" x14ac:dyDescent="0.25">
      <c r="B29" s="14" t="s">
        <v>24</v>
      </c>
      <c r="C29" s="13" t="s">
        <v>25</v>
      </c>
    </row>
    <row r="30" spans="2:3" x14ac:dyDescent="0.25">
      <c r="B30" s="15" t="s">
        <v>26</v>
      </c>
      <c r="C30" s="16" t="s">
        <v>27</v>
      </c>
    </row>
    <row r="32" spans="2:2" x14ac:dyDescent="0.25">
      <c r="B32" s="12" t="s">
        <v>28</v>
      </c>
    </row>
    <row r="33" spans="2:4" x14ac:dyDescent="0.25">
      <c r="B33" s="17" t="s">
        <v>29</v>
      </c>
      <c r="C33" s="17"/>
      <c r="D33" s="17"/>
    </row>
    <row r="34" spans="2:4" x14ac:dyDescent="0.25">
      <c r="B34" s="17" t="s">
        <v>30</v>
      </c>
      <c r="C34" s="17"/>
      <c r="D34" s="17"/>
    </row>
    <row r="35" spans="2:4" x14ac:dyDescent="0.25">
      <c r="B35" s="17" t="s">
        <v>31</v>
      </c>
      <c r="C35" s="17"/>
      <c r="D35" s="17"/>
    </row>
    <row r="36" spans="2:4" x14ac:dyDescent="0.25">
      <c r="B36" s="17" t="s">
        <v>32</v>
      </c>
      <c r="C36" s="17"/>
      <c r="D36" s="17"/>
    </row>
    <row r="37" spans="2:4" x14ac:dyDescent="0.25">
      <c r="B37" s="17" t="s">
        <v>33</v>
      </c>
      <c r="C37" s="17"/>
      <c r="D37" s="17"/>
    </row>
    <row r="38" spans="2:4" x14ac:dyDescent="0.25">
      <c r="B38" s="17" t="s">
        <v>34</v>
      </c>
      <c r="C38" s="17"/>
      <c r="D38" s="17"/>
    </row>
    <row r="39" spans="2:4" x14ac:dyDescent="0.25">
      <c r="B39" s="17" t="s">
        <v>35</v>
      </c>
      <c r="C39" s="17"/>
      <c r="D39" s="17"/>
    </row>
    <row r="41" spans="2:4" x14ac:dyDescent="0.25">
      <c r="B41" s="18" t="s">
        <v>36</v>
      </c>
      <c r="C41" s="18"/>
      <c r="D41" s="18"/>
    </row>
    <row r="42" spans="2:4" x14ac:dyDescent="0.25">
      <c r="B42" s="18"/>
      <c r="C42" s="18"/>
      <c r="D42" s="18"/>
    </row>
    <row r="43" spans="2:4" x14ac:dyDescent="0.25">
      <c r="B43" s="18"/>
      <c r="C43" s="18"/>
      <c r="D43" s="18"/>
    </row>
  </sheetData>
  <mergeCells count="19">
    <mergeCell ref="B2:D2"/>
    <mergeCell ref="B3:D3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3:D33"/>
    <mergeCell ref="B34:D34"/>
    <mergeCell ref="B35:D35"/>
    <mergeCell ref="B36:D36"/>
    <mergeCell ref="B37:D37"/>
    <mergeCell ref="B38:D38"/>
    <mergeCell ref="B39:D39"/>
    <mergeCell ref="B41:D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52" customWidth="1"/>
    <col min="2" max="2" width="16" customWidth="1"/>
    <col min="3" max="3" width="60" customWidth="1"/>
  </cols>
  <sheetData>
    <row r="1" spans="1:3" x14ac:dyDescent="0.25">
      <c r="A1" s="19" t="s">
        <v>37</v>
      </c>
      <c r="B1" s="19"/>
      <c r="C1" s="19"/>
    </row>
    <row r="2" spans="1:3" x14ac:dyDescent="0.25">
      <c r="A2" s="3" t="s">
        <v>38</v>
      </c>
      <c r="B2" s="20" t="s">
        <v>39</v>
      </c>
      <c r="C2" s="3" t="s">
        <v>40</v>
      </c>
    </row>
    <row r="4" spans="1:3" x14ac:dyDescent="0.25">
      <c r="A4" s="3" t="s">
        <v>41</v>
      </c>
      <c r="B4" s="4"/>
      <c r="C4" s="4"/>
    </row>
    <row r="5" spans="1:3" x14ac:dyDescent="0.25">
      <c r="A5" s="5" t="s">
        <v>42</v>
      </c>
      <c r="B5" s="21">
        <v>1000</v>
      </c>
      <c r="C5" s="22" t="s">
        <v>43</v>
      </c>
    </row>
    <row r="6" spans="1:3" x14ac:dyDescent="0.25">
      <c r="A6" s="5" t="s">
        <v>44</v>
      </c>
      <c r="B6" s="21">
        <v>8000</v>
      </c>
      <c r="C6" s="22" t="s">
        <v>45</v>
      </c>
    </row>
    <row r="7" spans="1:3" x14ac:dyDescent="0.25">
      <c r="A7" s="5" t="s">
        <v>46</v>
      </c>
      <c r="B7" s="23">
        <v>22000</v>
      </c>
      <c r="C7" s="22" t="s">
        <v>47</v>
      </c>
    </row>
    <row r="8" spans="1:3" x14ac:dyDescent="0.25">
      <c r="A8" s="5" t="s">
        <v>48</v>
      </c>
      <c r="B8" s="21">
        <v>599</v>
      </c>
      <c r="C8" s="22" t="s">
        <v>49</v>
      </c>
    </row>
    <row r="9" spans="1:3" x14ac:dyDescent="0.25">
      <c r="A9" s="5" t="s">
        <v>50</v>
      </c>
      <c r="B9" s="21">
        <v>799</v>
      </c>
      <c r="C9" s="22" t="s">
        <v>51</v>
      </c>
    </row>
    <row r="10" spans="1:3" x14ac:dyDescent="0.25">
      <c r="A10" s="5" t="s">
        <v>52</v>
      </c>
      <c r="B10" s="24">
        <v>10</v>
      </c>
      <c r="C10" s="22" t="s">
        <v>53</v>
      </c>
    </row>
    <row r="11" spans="1:3" x14ac:dyDescent="0.25">
      <c r="A11" s="5" t="s">
        <v>54</v>
      </c>
      <c r="B11" s="25">
        <v>0.65</v>
      </c>
      <c r="C11" s="22" t="s">
        <v>55</v>
      </c>
    </row>
    <row r="12" spans="1:3" x14ac:dyDescent="0.25">
      <c r="A12" s="5" t="s">
        <v>56</v>
      </c>
      <c r="B12" s="26">
        <v>0.1</v>
      </c>
      <c r="C12" s="22" t="s">
        <v>57</v>
      </c>
    </row>
    <row r="13" spans="1:3" x14ac:dyDescent="0.25">
      <c r="A13" s="5" t="s">
        <v>58</v>
      </c>
      <c r="B13" s="26">
        <v>0.02</v>
      </c>
      <c r="C13" s="22" t="s">
        <v>59</v>
      </c>
    </row>
    <row r="15" spans="1:3" x14ac:dyDescent="0.25">
      <c r="A15" s="3" t="s">
        <v>60</v>
      </c>
      <c r="B15" s="4"/>
      <c r="C15" s="4"/>
    </row>
    <row r="16" spans="1:3" x14ac:dyDescent="0.25">
      <c r="A16" s="5" t="s">
        <v>61</v>
      </c>
      <c r="B16" s="26">
        <v>0.029</v>
      </c>
      <c r="C16" s="22" t="s">
        <v>62</v>
      </c>
    </row>
    <row r="17" spans="1:3" x14ac:dyDescent="0.25">
      <c r="A17" s="5" t="s">
        <v>63</v>
      </c>
      <c r="B17" s="27">
        <v>0.3</v>
      </c>
      <c r="C17" s="22" t="s">
        <v>64</v>
      </c>
    </row>
    <row r="18" spans="1:3" x14ac:dyDescent="0.25">
      <c r="A18" s="5" t="s">
        <v>65</v>
      </c>
      <c r="B18" s="23">
        <v>2500</v>
      </c>
      <c r="C18" s="22" t="s">
        <v>66</v>
      </c>
    </row>
    <row r="19" spans="1:3" x14ac:dyDescent="0.25">
      <c r="A19" s="5" t="s">
        <v>67</v>
      </c>
      <c r="B19" s="23">
        <v>6000</v>
      </c>
      <c r="C19" s="22" t="s">
        <v>68</v>
      </c>
    </row>
    <row r="20" spans="1:3" x14ac:dyDescent="0.25">
      <c r="A20" s="5" t="s">
        <v>69</v>
      </c>
      <c r="B20" s="21">
        <v>75</v>
      </c>
      <c r="C20" s="22" t="s">
        <v>70</v>
      </c>
    </row>
    <row r="21" spans="1:3" x14ac:dyDescent="0.25">
      <c r="A21" s="5" t="s">
        <v>71</v>
      </c>
      <c r="B21" s="21">
        <v>35</v>
      </c>
      <c r="C21" s="22" t="s">
        <v>72</v>
      </c>
    </row>
    <row r="23" spans="1:3" x14ac:dyDescent="0.25">
      <c r="A23" s="3" t="s">
        <v>73</v>
      </c>
      <c r="B23" s="4"/>
      <c r="C23" s="4"/>
    </row>
    <row r="24" spans="1:3" x14ac:dyDescent="0.25">
      <c r="A24" s="5" t="s">
        <v>74</v>
      </c>
      <c r="B24" s="23">
        <v>6000</v>
      </c>
      <c r="C24" s="22" t="s">
        <v>75</v>
      </c>
    </row>
    <row r="25" spans="1:3" x14ac:dyDescent="0.25">
      <c r="A25" s="5" t="s">
        <v>76</v>
      </c>
      <c r="B25" s="21">
        <v>350</v>
      </c>
      <c r="C25" s="22" t="s">
        <v>77</v>
      </c>
    </row>
    <row r="26" spans="1:3" x14ac:dyDescent="0.25">
      <c r="A26" s="5" t="s">
        <v>78</v>
      </c>
      <c r="B26" s="26">
        <v>0.03</v>
      </c>
      <c r="C26" s="22" t="s">
        <v>79</v>
      </c>
    </row>
    <row r="27" spans="1:3" x14ac:dyDescent="0.25">
      <c r="A27" s="5" t="s">
        <v>80</v>
      </c>
      <c r="B27" s="21">
        <v>300</v>
      </c>
      <c r="C27" s="22" t="s">
        <v>81</v>
      </c>
    </row>
    <row r="28" spans="1:3" x14ac:dyDescent="0.25">
      <c r="A28" s="5" t="s">
        <v>82</v>
      </c>
      <c r="B28" s="26">
        <v>0.05</v>
      </c>
      <c r="C28" s="22" t="s">
        <v>83</v>
      </c>
    </row>
    <row r="29" spans="1:3" x14ac:dyDescent="0.25">
      <c r="A29" s="5" t="s">
        <v>84</v>
      </c>
      <c r="B29" s="21">
        <v>250</v>
      </c>
      <c r="C29" s="22" t="s">
        <v>85</v>
      </c>
    </row>
    <row r="30" spans="1:3" x14ac:dyDescent="0.25">
      <c r="A30" s="5" t="s">
        <v>86</v>
      </c>
      <c r="B30" s="21">
        <v>150</v>
      </c>
      <c r="C30" s="22" t="s">
        <v>87</v>
      </c>
    </row>
    <row r="31" spans="1:3" x14ac:dyDescent="0.25">
      <c r="A31" s="5" t="s">
        <v>88</v>
      </c>
      <c r="B31" s="24">
        <v>3</v>
      </c>
      <c r="C31" s="22" t="s">
        <v>89</v>
      </c>
    </row>
    <row r="32" spans="1:3" x14ac:dyDescent="0.25">
      <c r="A32" s="5" t="s">
        <v>90</v>
      </c>
      <c r="B32" s="21">
        <v>150</v>
      </c>
      <c r="C32" s="22" t="s">
        <v>91</v>
      </c>
    </row>
    <row r="33" spans="1:3" x14ac:dyDescent="0.25">
      <c r="A33" s="5" t="s">
        <v>92</v>
      </c>
      <c r="B33" s="21">
        <v>1200</v>
      </c>
      <c r="C33" s="22" t="s">
        <v>93</v>
      </c>
    </row>
    <row r="34" spans="1:3" x14ac:dyDescent="0.25">
      <c r="A34" s="5" t="s">
        <v>94</v>
      </c>
      <c r="B34" s="24">
        <v>9</v>
      </c>
      <c r="C34" s="22" t="s">
        <v>95</v>
      </c>
    </row>
    <row r="36" spans="1:3" x14ac:dyDescent="0.25">
      <c r="A36" s="3" t="s">
        <v>96</v>
      </c>
      <c r="B36" s="4"/>
      <c r="C36" s="4"/>
    </row>
    <row r="37" spans="1:3" x14ac:dyDescent="0.25">
      <c r="A37" s="5" t="s">
        <v>97</v>
      </c>
      <c r="B37" s="23">
        <v>899</v>
      </c>
      <c r="C37" s="22" t="s">
        <v>98</v>
      </c>
    </row>
    <row r="38" spans="1:3" x14ac:dyDescent="0.25">
      <c r="A38" s="5" t="s">
        <v>99</v>
      </c>
      <c r="B38" s="21">
        <v>500</v>
      </c>
      <c r="C38" s="22" t="s">
        <v>100</v>
      </c>
    </row>
    <row r="39" spans="1:3" x14ac:dyDescent="0.25">
      <c r="A39" s="5" t="s">
        <v>101</v>
      </c>
      <c r="B39" s="21">
        <v>100</v>
      </c>
      <c r="C39" s="22" t="s">
        <v>102</v>
      </c>
    </row>
    <row r="40" spans="1:3" x14ac:dyDescent="0.25">
      <c r="A40" s="5" t="s">
        <v>103</v>
      </c>
      <c r="B40" s="21">
        <v>1500</v>
      </c>
      <c r="C40" s="22" t="s">
        <v>104</v>
      </c>
    </row>
    <row r="41" spans="1:3" x14ac:dyDescent="0.25">
      <c r="A41" s="5" t="s">
        <v>105</v>
      </c>
      <c r="B41" s="24">
        <v>2</v>
      </c>
      <c r="C41" s="22" t="s">
        <v>106</v>
      </c>
    </row>
    <row r="43" spans="1:3" x14ac:dyDescent="0.25">
      <c r="A43" s="22" t="s">
        <v>107</v>
      </c>
      <c r="B43" s="22"/>
      <c r="C43" s="22"/>
    </row>
  </sheetData>
  <mergeCells count="2">
    <mergeCell ref="A1:C1"/>
    <mergeCell ref="A43:C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FormatPr defaultRowHeight="15" outlineLevelRow="0" outlineLevelCol="0" x14ac:dyDescent="55"/>
  <cols>
    <col min="1" max="1" width="44" customWidth="1"/>
    <col min="2" max="19" width="11" customWidth="1"/>
  </cols>
  <sheetData>
    <row r="1" spans="1:19" x14ac:dyDescent="0.25">
      <c r="A1" s="28" t="s">
        <v>108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3" t="s">
        <v>109</v>
      </c>
      <c r="B2" s="29">
        <v>1</v>
      </c>
      <c r="C2" s="29">
        <v>2</v>
      </c>
      <c r="D2" s="29">
        <v>3</v>
      </c>
      <c r="E2" s="29">
        <v>4</v>
      </c>
      <c r="F2" s="29">
        <v>5</v>
      </c>
      <c r="G2" s="29">
        <v>6</v>
      </c>
      <c r="H2" s="29">
        <v>7</v>
      </c>
      <c r="I2" s="29">
        <v>8</v>
      </c>
      <c r="J2" s="29">
        <v>9</v>
      </c>
      <c r="K2" s="29">
        <v>10</v>
      </c>
      <c r="L2" s="29">
        <v>11</v>
      </c>
      <c r="M2" s="29">
        <v>12</v>
      </c>
      <c r="N2" s="29">
        <v>13</v>
      </c>
      <c r="O2" s="29">
        <v>14</v>
      </c>
      <c r="P2" s="29">
        <v>15</v>
      </c>
      <c r="Q2" s="29">
        <v>16</v>
      </c>
      <c r="R2" s="29">
        <v>17</v>
      </c>
      <c r="S2" s="29">
        <v>18</v>
      </c>
    </row>
    <row r="3" spans="1:19" x14ac:dyDescent="0.25">
      <c r="A3" s="3" t="s">
        <v>110</v>
      </c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  <c r="G3" s="20" t="s">
        <v>116</v>
      </c>
      <c r="H3" s="20" t="s">
        <v>117</v>
      </c>
      <c r="I3" s="20" t="s">
        <v>118</v>
      </c>
      <c r="J3" s="20" t="s">
        <v>119</v>
      </c>
      <c r="K3" s="20" t="s">
        <v>120</v>
      </c>
      <c r="L3" s="20" t="s">
        <v>121</v>
      </c>
      <c r="M3" s="20" t="s">
        <v>122</v>
      </c>
      <c r="N3" s="20" t="s">
        <v>123</v>
      </c>
      <c r="O3" s="20" t="s">
        <v>124</v>
      </c>
      <c r="P3" s="20" t="s">
        <v>125</v>
      </c>
      <c r="Q3" s="20" t="s">
        <v>126</v>
      </c>
      <c r="R3" s="20" t="s">
        <v>127</v>
      </c>
      <c r="S3" s="20" t="s">
        <v>128</v>
      </c>
    </row>
    <row r="5" spans="1:19" x14ac:dyDescent="0.25">
      <c r="A5" s="3" t="s">
        <v>129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5" t="s">
        <v>130</v>
      </c>
      <c r="B6" s="30">
        <v>0</v>
      </c>
      <c r="C6" s="30">
        <v>0</v>
      </c>
      <c r="D6" s="30">
        <v>1</v>
      </c>
      <c r="E6" s="30">
        <v>1</v>
      </c>
      <c r="F6" s="30">
        <v>2</v>
      </c>
      <c r="G6" s="30">
        <v>2</v>
      </c>
      <c r="H6" s="30">
        <v>3</v>
      </c>
      <c r="I6" s="30">
        <v>3</v>
      </c>
      <c r="J6" s="30">
        <v>3</v>
      </c>
      <c r="K6" s="30">
        <v>3</v>
      </c>
      <c r="L6" s="30">
        <v>3</v>
      </c>
      <c r="M6" s="30">
        <v>3</v>
      </c>
      <c r="N6" s="30">
        <v>3</v>
      </c>
      <c r="O6" s="30">
        <v>3</v>
      </c>
      <c r="P6" s="30">
        <v>4</v>
      </c>
      <c r="Q6" s="30">
        <v>4</v>
      </c>
      <c r="R6" s="30">
        <v>4</v>
      </c>
      <c r="S6" s="30">
        <v>4</v>
      </c>
    </row>
    <row r="7" spans="1:19" x14ac:dyDescent="0.25">
      <c r="A7" s="31" t="s">
        <v>131</v>
      </c>
      <c r="B7" s="32">
        <f>B6</f>
        <v>0</v>
      </c>
      <c r="C7" s="32">
        <f>B7+C6</f>
        <v>0</v>
      </c>
      <c r="D7" s="32">
        <f>C7+D6</f>
        <v>1</v>
      </c>
      <c r="E7" s="32">
        <f>D7+E6</f>
        <v>2</v>
      </c>
      <c r="F7" s="32">
        <f>E7+F6</f>
        <v>4</v>
      </c>
      <c r="G7" s="32">
        <f>F7+G6</f>
        <v>6</v>
      </c>
      <c r="H7" s="32">
        <f>G7+H6</f>
        <v>9</v>
      </c>
      <c r="I7" s="32">
        <f>H7+I6</f>
        <v>12</v>
      </c>
      <c r="J7" s="32">
        <f>I7+J6</f>
        <v>15</v>
      </c>
      <c r="K7" s="32">
        <f>J7+K6</f>
        <v>18</v>
      </c>
      <c r="L7" s="32">
        <f>K7+L6</f>
        <v>21</v>
      </c>
      <c r="M7" s="32">
        <f>L7+M6</f>
        <v>24</v>
      </c>
      <c r="N7" s="32">
        <f>M7+N6</f>
        <v>27</v>
      </c>
      <c r="O7" s="32">
        <f>N7+O6</f>
        <v>30</v>
      </c>
      <c r="P7" s="32">
        <f>O7+P6</f>
        <v>34</v>
      </c>
      <c r="Q7" s="32">
        <f>P7+Q6</f>
        <v>38</v>
      </c>
      <c r="R7" s="32">
        <f>Q7+R6</f>
        <v>42</v>
      </c>
      <c r="S7" s="32">
        <f>R7+S6</f>
        <v>46</v>
      </c>
    </row>
    <row r="8" spans="1:19" x14ac:dyDescent="0.25">
      <c r="A8" s="5" t="s">
        <v>132</v>
      </c>
      <c r="B8" s="33">
        <f>MIN(Assumptions!$B$10,B7)</f>
        <v>0</v>
      </c>
      <c r="C8" s="33">
        <f>MIN(Assumptions!$B$10,C7)-MIN(Assumptions!$B$10,B7)</f>
        <v>0</v>
      </c>
      <c r="D8" s="33">
        <f>MIN(Assumptions!$B$10,D7)-MIN(Assumptions!$B$10,C7)</f>
        <v>1</v>
      </c>
      <c r="E8" s="33">
        <f>MIN(Assumptions!$B$10,E7)-MIN(Assumptions!$B$10,D7)</f>
        <v>1</v>
      </c>
      <c r="F8" s="33">
        <f>MIN(Assumptions!$B$10,F7)-MIN(Assumptions!$B$10,E7)</f>
        <v>2</v>
      </c>
      <c r="G8" s="33">
        <f>MIN(Assumptions!$B$10,G7)-MIN(Assumptions!$B$10,F7)</f>
        <v>2</v>
      </c>
      <c r="H8" s="33">
        <f>MIN(Assumptions!$B$10,H7)-MIN(Assumptions!$B$10,G7)</f>
        <v>3</v>
      </c>
      <c r="I8" s="33">
        <f>MIN(Assumptions!$B$10,I7)-MIN(Assumptions!$B$10,H7)</f>
        <v>1</v>
      </c>
      <c r="J8" s="33">
        <f>MIN(Assumptions!$B$10,J7)-MIN(Assumptions!$B$10,I7)</f>
        <v>0</v>
      </c>
      <c r="K8" s="33">
        <f>MIN(Assumptions!$B$10,K7)-MIN(Assumptions!$B$10,J7)</f>
        <v>0</v>
      </c>
      <c r="L8" s="33">
        <f>MIN(Assumptions!$B$10,L7)-MIN(Assumptions!$B$10,K7)</f>
        <v>0</v>
      </c>
      <c r="M8" s="33">
        <f>MIN(Assumptions!$B$10,M7)-MIN(Assumptions!$B$10,L7)</f>
        <v>0</v>
      </c>
      <c r="N8" s="33">
        <f>MIN(Assumptions!$B$10,N7)-MIN(Assumptions!$B$10,M7)</f>
        <v>0</v>
      </c>
      <c r="O8" s="33">
        <f>MIN(Assumptions!$B$10,O7)-MIN(Assumptions!$B$10,N7)</f>
        <v>0</v>
      </c>
      <c r="P8" s="33">
        <f>MIN(Assumptions!$B$10,P7)-MIN(Assumptions!$B$10,O7)</f>
        <v>0</v>
      </c>
      <c r="Q8" s="33">
        <f>MIN(Assumptions!$B$10,Q7)-MIN(Assumptions!$B$10,P7)</f>
        <v>0</v>
      </c>
      <c r="R8" s="33">
        <f>MIN(Assumptions!$B$10,R7)-MIN(Assumptions!$B$10,Q7)</f>
        <v>0</v>
      </c>
      <c r="S8" s="33">
        <f>MIN(Assumptions!$B$10,S7)-MIN(Assumptions!$B$10,R7)</f>
        <v>0</v>
      </c>
    </row>
    <row r="9" spans="1:19" x14ac:dyDescent="0.25">
      <c r="A9" s="5" t="s">
        <v>133</v>
      </c>
      <c r="B9" s="34">
        <f>B6-B8</f>
        <v>0</v>
      </c>
      <c r="C9" s="34">
        <f>C6-C8</f>
        <v>0</v>
      </c>
      <c r="D9" s="34">
        <f>D6-D8</f>
        <v>0</v>
      </c>
      <c r="E9" s="34">
        <f>E6-E8</f>
        <v>0</v>
      </c>
      <c r="F9" s="34">
        <f>F6-F8</f>
        <v>0</v>
      </c>
      <c r="G9" s="34">
        <f>G6-G8</f>
        <v>0</v>
      </c>
      <c r="H9" s="34">
        <f>H6-H8</f>
        <v>0</v>
      </c>
      <c r="I9" s="34">
        <f>I6-I8</f>
        <v>2</v>
      </c>
      <c r="J9" s="34">
        <f>J6-J8</f>
        <v>3</v>
      </c>
      <c r="K9" s="34">
        <f>K6-K8</f>
        <v>3</v>
      </c>
      <c r="L9" s="34">
        <f>L6-L8</f>
        <v>3</v>
      </c>
      <c r="M9" s="34">
        <f>M6-M8</f>
        <v>3</v>
      </c>
      <c r="N9" s="34">
        <f>N6-N8</f>
        <v>3</v>
      </c>
      <c r="O9" s="34">
        <f>O6-O8</f>
        <v>3</v>
      </c>
      <c r="P9" s="34">
        <f>P6-P8</f>
        <v>4</v>
      </c>
      <c r="Q9" s="34">
        <f>Q6-Q8</f>
        <v>4</v>
      </c>
      <c r="R9" s="34">
        <f>R6-R8</f>
        <v>4</v>
      </c>
      <c r="S9" s="34">
        <f>S6-S8</f>
        <v>4</v>
      </c>
    </row>
    <row r="10" spans="1:19" x14ac:dyDescent="0.25">
      <c r="A10" s="3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5">
      <c r="A11" s="5" t="s">
        <v>135</v>
      </c>
      <c r="B11" s="34">
        <f>ROUND(B6/Assumptions!$B$11,0)</f>
        <v>0</v>
      </c>
      <c r="C11" s="34">
        <f>ROUND(C6/Assumptions!$B$11,0)</f>
        <v>0</v>
      </c>
      <c r="D11" s="34">
        <f>ROUND(D6/Assumptions!$B$11,0)</f>
        <v>2</v>
      </c>
      <c r="E11" s="34">
        <f>ROUND(E6/Assumptions!$B$11,0)</f>
        <v>2</v>
      </c>
      <c r="F11" s="34">
        <f>ROUND(F6/Assumptions!$B$11,0)</f>
        <v>3</v>
      </c>
      <c r="G11" s="34">
        <f>ROUND(G6/Assumptions!$B$11,0)</f>
        <v>3</v>
      </c>
      <c r="H11" s="34">
        <f>ROUND(H6/Assumptions!$B$11,0)</f>
        <v>5</v>
      </c>
      <c r="I11" s="34">
        <f>ROUND(I6/Assumptions!$B$11,0)</f>
        <v>5</v>
      </c>
      <c r="J11" s="34">
        <f>ROUND(J6/Assumptions!$B$11,0)</f>
        <v>5</v>
      </c>
      <c r="K11" s="34">
        <f>ROUND(K6/Assumptions!$B$11,0)</f>
        <v>5</v>
      </c>
      <c r="L11" s="34">
        <f>ROUND(L6/Assumptions!$B$11,0)</f>
        <v>5</v>
      </c>
      <c r="M11" s="34">
        <f>ROUND(M6/Assumptions!$B$11,0)</f>
        <v>5</v>
      </c>
      <c r="N11" s="34">
        <f>ROUND(N6/Assumptions!$B$11,0)</f>
        <v>5</v>
      </c>
      <c r="O11" s="34">
        <f>ROUND(O6/Assumptions!$B$11,0)</f>
        <v>5</v>
      </c>
      <c r="P11" s="34">
        <f>ROUND(P6/Assumptions!$B$11,0)</f>
        <v>6</v>
      </c>
      <c r="Q11" s="34">
        <f>ROUND(Q6/Assumptions!$B$11,0)</f>
        <v>6</v>
      </c>
      <c r="R11" s="34">
        <f>ROUND(R6/Assumptions!$B$11,0)</f>
        <v>6</v>
      </c>
      <c r="S11" s="34">
        <f>ROUND(S6/Assumptions!$B$11,0)</f>
        <v>6</v>
      </c>
    </row>
    <row r="12" spans="1:19" x14ac:dyDescent="0.25">
      <c r="A12" s="5" t="s">
        <v>136</v>
      </c>
      <c r="B12" s="35">
        <f>B11*Assumptions!$B$5</f>
        <v>0</v>
      </c>
      <c r="C12" s="35">
        <f>C11*Assumptions!$B$5</f>
        <v>0</v>
      </c>
      <c r="D12" s="35">
        <f>D11*Assumptions!$B$5</f>
        <v>2000</v>
      </c>
      <c r="E12" s="35">
        <f>E11*Assumptions!$B$5</f>
        <v>2000</v>
      </c>
      <c r="F12" s="35">
        <f>F11*Assumptions!$B$5</f>
        <v>3000</v>
      </c>
      <c r="G12" s="35">
        <f>G11*Assumptions!$B$5</f>
        <v>3000</v>
      </c>
      <c r="H12" s="35">
        <f>H11*Assumptions!$B$5</f>
        <v>5000</v>
      </c>
      <c r="I12" s="35">
        <f>I11*Assumptions!$B$5</f>
        <v>5000</v>
      </c>
      <c r="J12" s="35">
        <f>J11*Assumptions!$B$5</f>
        <v>5000</v>
      </c>
      <c r="K12" s="35">
        <f>K11*Assumptions!$B$5</f>
        <v>5000</v>
      </c>
      <c r="L12" s="35">
        <f>L11*Assumptions!$B$5</f>
        <v>5000</v>
      </c>
      <c r="M12" s="35">
        <f>M11*Assumptions!$B$5</f>
        <v>5000</v>
      </c>
      <c r="N12" s="35">
        <f>N11*Assumptions!$B$5</f>
        <v>5000</v>
      </c>
      <c r="O12" s="35">
        <f>O11*Assumptions!$B$5</f>
        <v>5000</v>
      </c>
      <c r="P12" s="35">
        <f>P11*Assumptions!$B$5</f>
        <v>6000</v>
      </c>
      <c r="Q12" s="35">
        <f>Q11*Assumptions!$B$5</f>
        <v>6000</v>
      </c>
      <c r="R12" s="35">
        <f>R11*Assumptions!$B$5</f>
        <v>6000</v>
      </c>
      <c r="S12" s="35">
        <f>S11*Assumptions!$B$5</f>
        <v>6000</v>
      </c>
    </row>
    <row r="13" spans="1:19" x14ac:dyDescent="0.25">
      <c r="A13" s="5" t="s">
        <v>137</v>
      </c>
      <c r="B13" s="35">
        <f>-B12*Assumptions!$B$12</f>
        <v>0</v>
      </c>
      <c r="C13" s="35">
        <f>-C12*Assumptions!$B$12</f>
        <v>0</v>
      </c>
      <c r="D13" s="35">
        <f>-D12*Assumptions!$B$12</f>
        <v>-200</v>
      </c>
      <c r="E13" s="35">
        <f>-E12*Assumptions!$B$12</f>
        <v>-200</v>
      </c>
      <c r="F13" s="35">
        <f>-F12*Assumptions!$B$12</f>
        <v>-300</v>
      </c>
      <c r="G13" s="35">
        <f>-G12*Assumptions!$B$12</f>
        <v>-300</v>
      </c>
      <c r="H13" s="35">
        <f>-H12*Assumptions!$B$12</f>
        <v>-500</v>
      </c>
      <c r="I13" s="35">
        <f>-I12*Assumptions!$B$12</f>
        <v>-500</v>
      </c>
      <c r="J13" s="35">
        <f>-J12*Assumptions!$B$12</f>
        <v>-500</v>
      </c>
      <c r="K13" s="35">
        <f>-K12*Assumptions!$B$12</f>
        <v>-500</v>
      </c>
      <c r="L13" s="35">
        <f>-L12*Assumptions!$B$12</f>
        <v>-500</v>
      </c>
      <c r="M13" s="35">
        <f>-M12*Assumptions!$B$12</f>
        <v>-500</v>
      </c>
      <c r="N13" s="35">
        <f>-N12*Assumptions!$B$12</f>
        <v>-500</v>
      </c>
      <c r="O13" s="35">
        <f>-O12*Assumptions!$B$12</f>
        <v>-500</v>
      </c>
      <c r="P13" s="35">
        <f>-P12*Assumptions!$B$12</f>
        <v>-600</v>
      </c>
      <c r="Q13" s="35">
        <f>-Q12*Assumptions!$B$12</f>
        <v>-600</v>
      </c>
      <c r="R13" s="35">
        <f>-R12*Assumptions!$B$12</f>
        <v>-600</v>
      </c>
      <c r="S13" s="35">
        <f>-S12*Assumptions!$B$12</f>
        <v>-600</v>
      </c>
    </row>
    <row r="14" spans="1:19" x14ac:dyDescent="0.25">
      <c r="A14" s="31" t="s">
        <v>138</v>
      </c>
      <c r="B14" s="36">
        <f>B12+B13</f>
        <v>0</v>
      </c>
      <c r="C14" s="36">
        <f>C12+C13</f>
        <v>0</v>
      </c>
      <c r="D14" s="36">
        <f>D12+D13</f>
        <v>1800</v>
      </c>
      <c r="E14" s="36">
        <f>E12+E13</f>
        <v>1800</v>
      </c>
      <c r="F14" s="36">
        <f>F12+F13</f>
        <v>2700</v>
      </c>
      <c r="G14" s="36">
        <f>G12+G13</f>
        <v>2700</v>
      </c>
      <c r="H14" s="36">
        <f>H12+H13</f>
        <v>4500</v>
      </c>
      <c r="I14" s="36">
        <f>I12+I13</f>
        <v>4500</v>
      </c>
      <c r="J14" s="36">
        <f>J12+J13</f>
        <v>4500</v>
      </c>
      <c r="K14" s="36">
        <f>K12+K13</f>
        <v>4500</v>
      </c>
      <c r="L14" s="36">
        <f>L12+L13</f>
        <v>4500</v>
      </c>
      <c r="M14" s="36">
        <f>M12+M13</f>
        <v>4500</v>
      </c>
      <c r="N14" s="36">
        <f>N12+N13</f>
        <v>4500</v>
      </c>
      <c r="O14" s="36">
        <f>O12+O13</f>
        <v>4500</v>
      </c>
      <c r="P14" s="36">
        <f>P12+P13</f>
        <v>5400</v>
      </c>
      <c r="Q14" s="36">
        <f>Q12+Q13</f>
        <v>5400</v>
      </c>
      <c r="R14" s="36">
        <f>R12+R13</f>
        <v>5400</v>
      </c>
      <c r="S14" s="36">
        <f>S12+S13</f>
        <v>5400</v>
      </c>
    </row>
    <row r="15" spans="1:19" x14ac:dyDescent="0.25">
      <c r="A15" s="3" t="s">
        <v>139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A16" s="5" t="s">
        <v>140</v>
      </c>
      <c r="B16" s="35">
        <f>B8*Assumptions!$B$6</f>
        <v>0</v>
      </c>
      <c r="C16" s="35">
        <f>C8*Assumptions!$B$6</f>
        <v>0</v>
      </c>
      <c r="D16" s="35">
        <f>D8*Assumptions!$B$6</f>
        <v>8000</v>
      </c>
      <c r="E16" s="35">
        <f>E8*Assumptions!$B$6</f>
        <v>8000</v>
      </c>
      <c r="F16" s="35">
        <f>F8*Assumptions!$B$6</f>
        <v>16000</v>
      </c>
      <c r="G16" s="35">
        <f>G8*Assumptions!$B$6</f>
        <v>16000</v>
      </c>
      <c r="H16" s="35">
        <f>H8*Assumptions!$B$6</f>
        <v>24000</v>
      </c>
      <c r="I16" s="35">
        <f>I8*Assumptions!$B$6</f>
        <v>8000</v>
      </c>
      <c r="J16" s="35">
        <f>J8*Assumptions!$B$6</f>
        <v>0</v>
      </c>
      <c r="K16" s="35">
        <f>K8*Assumptions!$B$6</f>
        <v>0</v>
      </c>
      <c r="L16" s="35">
        <f>L8*Assumptions!$B$6</f>
        <v>0</v>
      </c>
      <c r="M16" s="35">
        <f>M8*Assumptions!$B$6</f>
        <v>0</v>
      </c>
      <c r="N16" s="35">
        <f>N8*Assumptions!$B$6</f>
        <v>0</v>
      </c>
      <c r="O16" s="35">
        <f>O8*Assumptions!$B$6</f>
        <v>0</v>
      </c>
      <c r="P16" s="35">
        <f>P8*Assumptions!$B$6</f>
        <v>0</v>
      </c>
      <c r="Q16" s="35">
        <f>Q8*Assumptions!$B$6</f>
        <v>0</v>
      </c>
      <c r="R16" s="35">
        <f>R8*Assumptions!$B$6</f>
        <v>0</v>
      </c>
      <c r="S16" s="35">
        <f>S8*Assumptions!$B$6</f>
        <v>0</v>
      </c>
    </row>
    <row r="17" spans="1:19" x14ac:dyDescent="0.25">
      <c r="A17" s="5" t="s">
        <v>141</v>
      </c>
      <c r="B17" s="35">
        <f>B9*Assumptions!$B$7</f>
        <v>0</v>
      </c>
      <c r="C17" s="35">
        <f>C9*Assumptions!$B$7</f>
        <v>0</v>
      </c>
      <c r="D17" s="35">
        <f>D9*Assumptions!$B$7</f>
        <v>0</v>
      </c>
      <c r="E17" s="35">
        <f>E9*Assumptions!$B$7</f>
        <v>0</v>
      </c>
      <c r="F17" s="35">
        <f>F9*Assumptions!$B$7</f>
        <v>0</v>
      </c>
      <c r="G17" s="35">
        <f>G9*Assumptions!$B$7</f>
        <v>0</v>
      </c>
      <c r="H17" s="35">
        <f>H9*Assumptions!$B$7</f>
        <v>0</v>
      </c>
      <c r="I17" s="35">
        <f>I9*Assumptions!$B$7</f>
        <v>44000</v>
      </c>
      <c r="J17" s="35">
        <f>J9*Assumptions!$B$7</f>
        <v>66000</v>
      </c>
      <c r="K17" s="35">
        <f>K9*Assumptions!$B$7</f>
        <v>66000</v>
      </c>
      <c r="L17" s="35">
        <f>L9*Assumptions!$B$7</f>
        <v>66000</v>
      </c>
      <c r="M17" s="35">
        <f>M9*Assumptions!$B$7</f>
        <v>66000</v>
      </c>
      <c r="N17" s="35">
        <f>N9*Assumptions!$B$7</f>
        <v>66000</v>
      </c>
      <c r="O17" s="35">
        <f>O9*Assumptions!$B$7</f>
        <v>66000</v>
      </c>
      <c r="P17" s="35">
        <f>P9*Assumptions!$B$7</f>
        <v>88000</v>
      </c>
      <c r="Q17" s="35">
        <f>Q9*Assumptions!$B$7</f>
        <v>88000</v>
      </c>
      <c r="R17" s="35">
        <f>R9*Assumptions!$B$7</f>
        <v>88000</v>
      </c>
      <c r="S17" s="35">
        <f>S9*Assumptions!$B$7</f>
        <v>88000</v>
      </c>
    </row>
    <row r="18" spans="1:19" x14ac:dyDescent="0.25">
      <c r="A18" s="31" t="s">
        <v>142</v>
      </c>
      <c r="B18" s="36">
        <f>B16+B17</f>
        <v>0</v>
      </c>
      <c r="C18" s="36">
        <f>C16+C17</f>
        <v>0</v>
      </c>
      <c r="D18" s="36">
        <f>D16+D17</f>
        <v>8000</v>
      </c>
      <c r="E18" s="36">
        <f>E16+E17</f>
        <v>8000</v>
      </c>
      <c r="F18" s="36">
        <f>F16+F17</f>
        <v>16000</v>
      </c>
      <c r="G18" s="36">
        <f>G16+G17</f>
        <v>16000</v>
      </c>
      <c r="H18" s="36">
        <f>H16+H17</f>
        <v>24000</v>
      </c>
      <c r="I18" s="36">
        <f>I16+I17</f>
        <v>52000</v>
      </c>
      <c r="J18" s="36">
        <f>J16+J17</f>
        <v>66000</v>
      </c>
      <c r="K18" s="36">
        <f>K16+K17</f>
        <v>66000</v>
      </c>
      <c r="L18" s="36">
        <f>L16+L17</f>
        <v>66000</v>
      </c>
      <c r="M18" s="36">
        <f>M16+M17</f>
        <v>66000</v>
      </c>
      <c r="N18" s="36">
        <f>N16+N17</f>
        <v>66000</v>
      </c>
      <c r="O18" s="36">
        <f>O16+O17</f>
        <v>66000</v>
      </c>
      <c r="P18" s="36">
        <f>P16+P17</f>
        <v>88000</v>
      </c>
      <c r="Q18" s="36">
        <f>Q16+Q17</f>
        <v>88000</v>
      </c>
      <c r="R18" s="36">
        <f>R16+R17</f>
        <v>88000</v>
      </c>
      <c r="S18" s="36">
        <f>S16+S17</f>
        <v>88000</v>
      </c>
    </row>
    <row r="19" spans="1:19" x14ac:dyDescent="0.25">
      <c r="A19" s="3" t="s">
        <v>143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5" t="s">
        <v>144</v>
      </c>
      <c r="B20" s="34">
        <f>0</f>
        <v>0</v>
      </c>
      <c r="C20" s="34">
        <f>B8</f>
        <v>0</v>
      </c>
      <c r="D20" s="34">
        <f>C8</f>
        <v>0</v>
      </c>
      <c r="E20" s="34">
        <f>D8</f>
        <v>1</v>
      </c>
      <c r="F20" s="34">
        <f>E8</f>
        <v>1</v>
      </c>
      <c r="G20" s="34">
        <f>F8</f>
        <v>2</v>
      </c>
      <c r="H20" s="34">
        <f>G8</f>
        <v>2</v>
      </c>
      <c r="I20" s="34">
        <f>H8</f>
        <v>3</v>
      </c>
      <c r="J20" s="34">
        <f>I8</f>
        <v>1</v>
      </c>
      <c r="K20" s="34">
        <f>J8</f>
        <v>0</v>
      </c>
      <c r="L20" s="34">
        <f>K8</f>
        <v>0</v>
      </c>
      <c r="M20" s="34">
        <f>L8</f>
        <v>0</v>
      </c>
      <c r="N20" s="34">
        <f>M8</f>
        <v>0</v>
      </c>
      <c r="O20" s="34">
        <f>N8</f>
        <v>0</v>
      </c>
      <c r="P20" s="34">
        <f>O8</f>
        <v>0</v>
      </c>
      <c r="Q20" s="34">
        <f>P8</f>
        <v>0</v>
      </c>
      <c r="R20" s="34">
        <f>Q8</f>
        <v>0</v>
      </c>
      <c r="S20" s="34">
        <f>R8</f>
        <v>0</v>
      </c>
    </row>
    <row r="21" spans="1:19" x14ac:dyDescent="0.25">
      <c r="A21" s="5" t="s">
        <v>145</v>
      </c>
      <c r="B21" s="37">
        <f>B20</f>
        <v>0</v>
      </c>
      <c r="C21" s="37">
        <f>B21*(1-Assumptions!$B$13)+C20</f>
        <v>0</v>
      </c>
      <c r="D21" s="37">
        <f>C21*(1-Assumptions!$B$13)+D20</f>
        <v>0</v>
      </c>
      <c r="E21" s="37">
        <f>D21*(1-Assumptions!$B$13)+E20</f>
        <v>1</v>
      </c>
      <c r="F21" s="37">
        <f>E21*(1-Assumptions!$B$13)+F20</f>
        <v>1.98</v>
      </c>
      <c r="G21" s="37">
        <f>F21*(1-Assumptions!$B$13)+G20</f>
        <v>3.9404</v>
      </c>
      <c r="H21" s="37">
        <f>G21*(1-Assumptions!$B$13)+H20</f>
        <v>5.861592</v>
      </c>
      <c r="I21" s="37">
        <f>H21*(1-Assumptions!$B$13)+I20</f>
        <v>8.74436016</v>
      </c>
      <c r="J21" s="37">
        <f>I21*(1-Assumptions!$B$13)+J20</f>
        <v>9.569472956799999</v>
      </c>
      <c r="K21" s="37">
        <f>J21*(1-Assumptions!$B$13)+K20</f>
        <v>9.378083497663999</v>
      </c>
      <c r="L21" s="37">
        <f>K21*(1-Assumptions!$B$13)+L20</f>
        <v>9.190521827710718</v>
      </c>
      <c r="M21" s="37">
        <f>L21*(1-Assumptions!$B$13)+M20</f>
        <v>9.006711391156504</v>
      </c>
      <c r="N21" s="37">
        <f>M21*(1-Assumptions!$B$13)+N20</f>
        <v>8.826577163333374</v>
      </c>
      <c r="O21" s="37">
        <f>N21*(1-Assumptions!$B$13)+O20</f>
        <v>8.650045620066706</v>
      </c>
      <c r="P21" s="37">
        <f>O21*(1-Assumptions!$B$13)+P20</f>
        <v>8.477044707665371</v>
      </c>
      <c r="Q21" s="37">
        <f>P21*(1-Assumptions!$B$13)+Q20</f>
        <v>8.307503813512064</v>
      </c>
      <c r="R21" s="37">
        <f>Q21*(1-Assumptions!$B$13)+R20</f>
        <v>8.141353737241822</v>
      </c>
      <c r="S21" s="37">
        <f>R21*(1-Assumptions!$B$13)+S20</f>
        <v>7.978526662496986</v>
      </c>
    </row>
    <row r="22" spans="1:19" x14ac:dyDescent="0.25">
      <c r="A22" s="5" t="s">
        <v>146</v>
      </c>
      <c r="B22" s="34">
        <f>0</f>
        <v>0</v>
      </c>
      <c r="C22" s="34">
        <f>B9</f>
        <v>0</v>
      </c>
      <c r="D22" s="34">
        <f>C9</f>
        <v>0</v>
      </c>
      <c r="E22" s="34">
        <f>D9</f>
        <v>0</v>
      </c>
      <c r="F22" s="34">
        <f>E9</f>
        <v>0</v>
      </c>
      <c r="G22" s="34">
        <f>F9</f>
        <v>0</v>
      </c>
      <c r="H22" s="34">
        <f>G9</f>
        <v>0</v>
      </c>
      <c r="I22" s="34">
        <f>H9</f>
        <v>0</v>
      </c>
      <c r="J22" s="34">
        <f>I9</f>
        <v>2</v>
      </c>
      <c r="K22" s="34">
        <f>J9</f>
        <v>3</v>
      </c>
      <c r="L22" s="34">
        <f>K9</f>
        <v>3</v>
      </c>
      <c r="M22" s="34">
        <f>L9</f>
        <v>3</v>
      </c>
      <c r="N22" s="34">
        <f>M9</f>
        <v>3</v>
      </c>
      <c r="O22" s="34">
        <f>N9</f>
        <v>3</v>
      </c>
      <c r="P22" s="34">
        <f>O9</f>
        <v>3</v>
      </c>
      <c r="Q22" s="34">
        <f>P9</f>
        <v>4</v>
      </c>
      <c r="R22" s="34">
        <f>Q9</f>
        <v>4</v>
      </c>
      <c r="S22" s="34">
        <f>R9</f>
        <v>4</v>
      </c>
    </row>
    <row r="23" spans="1:19" x14ac:dyDescent="0.25">
      <c r="A23" s="5" t="s">
        <v>147</v>
      </c>
      <c r="B23" s="37">
        <f>B22</f>
        <v>0</v>
      </c>
      <c r="C23" s="37">
        <f>B23*(1-Assumptions!$B$13)+C22</f>
        <v>0</v>
      </c>
      <c r="D23" s="37">
        <f>C23*(1-Assumptions!$B$13)+D22</f>
        <v>0</v>
      </c>
      <c r="E23" s="37">
        <f>D23*(1-Assumptions!$B$13)+E22</f>
        <v>0</v>
      </c>
      <c r="F23" s="37">
        <f>E23*(1-Assumptions!$B$13)+F22</f>
        <v>0</v>
      </c>
      <c r="G23" s="37">
        <f>F23*(1-Assumptions!$B$13)+G22</f>
        <v>0</v>
      </c>
      <c r="H23" s="37">
        <f>G23*(1-Assumptions!$B$13)+H22</f>
        <v>0</v>
      </c>
      <c r="I23" s="37">
        <f>H23*(1-Assumptions!$B$13)+I22</f>
        <v>0</v>
      </c>
      <c r="J23" s="37">
        <f>I23*(1-Assumptions!$B$13)+J22</f>
        <v>2</v>
      </c>
      <c r="K23" s="37">
        <f>J23*(1-Assumptions!$B$13)+K22</f>
        <v>4.96</v>
      </c>
      <c r="L23" s="37">
        <f>K23*(1-Assumptions!$B$13)+L22</f>
        <v>7.8608</v>
      </c>
      <c r="M23" s="37">
        <f>L23*(1-Assumptions!$B$13)+M22</f>
        <v>10.703584</v>
      </c>
      <c r="N23" s="37">
        <f>M23*(1-Assumptions!$B$13)+N22</f>
        <v>13.48951232</v>
      </c>
      <c r="O23" s="37">
        <f>N23*(1-Assumptions!$B$13)+O22</f>
        <v>16.2197220736</v>
      </c>
      <c r="P23" s="37">
        <f>O23*(1-Assumptions!$B$13)+P22</f>
        <v>18.895327632128</v>
      </c>
      <c r="Q23" s="37">
        <f>P23*(1-Assumptions!$B$13)+Q22</f>
        <v>22.51742107948544</v>
      </c>
      <c r="R23" s="37">
        <f>Q23*(1-Assumptions!$B$13)+R22</f>
        <v>26.067072657895732</v>
      </c>
      <c r="S23" s="37">
        <f>R23*(1-Assumptions!$B$13)+S22</f>
        <v>29.545731204737816</v>
      </c>
    </row>
    <row r="24" spans="1:19" x14ac:dyDescent="0.25">
      <c r="A24" s="31" t="s">
        <v>148</v>
      </c>
      <c r="B24" s="36">
        <f>B21*Assumptions!$B$8+B23*Assumptions!$B$9</f>
        <v>0</v>
      </c>
      <c r="C24" s="36">
        <f>C21*Assumptions!$B$8+C23*Assumptions!$B$9</f>
        <v>0</v>
      </c>
      <c r="D24" s="36">
        <f>D21*Assumptions!$B$8+D23*Assumptions!$B$9</f>
        <v>0</v>
      </c>
      <c r="E24" s="36">
        <f>E21*Assumptions!$B$8+E23*Assumptions!$B$9</f>
        <v>599</v>
      </c>
      <c r="F24" s="36">
        <f>F21*Assumptions!$B$8+F23*Assumptions!$B$9</f>
        <v>1186.02</v>
      </c>
      <c r="G24" s="36">
        <f>G21*Assumptions!$B$8+G23*Assumptions!$B$9</f>
        <v>2360.2996</v>
      </c>
      <c r="H24" s="36">
        <f>H21*Assumptions!$B$8+H23*Assumptions!$B$9</f>
        <v>3511.093608</v>
      </c>
      <c r="I24" s="36">
        <f>I21*Assumptions!$B$8+I23*Assumptions!$B$9</f>
        <v>5237.87173584</v>
      </c>
      <c r="J24" s="36">
        <f>J21*Assumptions!$B$8+J23*Assumptions!$B$9</f>
        <v>7330.114301123199</v>
      </c>
      <c r="K24" s="36">
        <f>K21*Assumptions!$B$8+K23*Assumptions!$B$9</f>
        <v>9580.512015100736</v>
      </c>
      <c r="L24" s="36">
        <f>L21*Assumptions!$B$8+L23*Assumptions!$B$9</f>
        <v>11785.90177479872</v>
      </c>
      <c r="M24" s="36">
        <f>M21*Assumptions!$B$8+M23*Assumptions!$B$9</f>
        <v>13947.183739302745</v>
      </c>
      <c r="N24" s="36">
        <f>N21*Assumptions!$B$8+N23*Assumptions!$B$9</f>
        <v>16065.240064516689</v>
      </c>
      <c r="O24" s="36">
        <f>O21*Assumptions!$B$8+O23*Assumptions!$B$9</f>
        <v>18140.935263226354</v>
      </c>
      <c r="P24" s="36">
        <f>P21*Assumptions!$B$8+P23*Assumptions!$B$9</f>
        <v>20175.116557961832</v>
      </c>
      <c r="Q24" s="36">
        <f>Q21*Assumptions!$B$8+Q23*Assumptions!$B$9</f>
        <v>22967.614226802594</v>
      </c>
      <c r="R24" s="36">
        <f>R21*Assumptions!$B$8+R23*Assumptions!$B$9</f>
        <v>25704.26194226654</v>
      </c>
      <c r="S24" s="36">
        <f>S21*Assumptions!$B$8+S23*Assumptions!$B$9</f>
        <v>28386.17670342121</v>
      </c>
    </row>
    <row r="25" spans="1:19" x14ac:dyDescent="0.25">
      <c r="A25" s="3" t="s">
        <v>149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38" t="s">
        <v>150</v>
      </c>
      <c r="B26" s="39">
        <f>B14+B18+B24</f>
        <v>0</v>
      </c>
      <c r="C26" s="39">
        <f>C14+C18+C24</f>
        <v>0</v>
      </c>
      <c r="D26" s="39">
        <f>D14+D18+D24</f>
        <v>9800</v>
      </c>
      <c r="E26" s="39">
        <f>E14+E18+E24</f>
        <v>10399</v>
      </c>
      <c r="F26" s="39">
        <f>F14+F18+F24</f>
        <v>19886.02</v>
      </c>
      <c r="G26" s="39">
        <f>G14+G18+G24</f>
        <v>21060.2996</v>
      </c>
      <c r="H26" s="39">
        <f>H14+H18+H24</f>
        <v>32011.093608</v>
      </c>
      <c r="I26" s="39">
        <f>I14+I18+I24</f>
        <v>61737.87173584</v>
      </c>
      <c r="J26" s="39">
        <f>J14+J18+J24</f>
        <v>77830.1143011232</v>
      </c>
      <c r="K26" s="39">
        <f>K14+K18+K24</f>
        <v>80080.51201510074</v>
      </c>
      <c r="L26" s="39">
        <f>L14+L18+L24</f>
        <v>82285.90177479872</v>
      </c>
      <c r="M26" s="39">
        <f>M14+M18+M24</f>
        <v>84447.18373930274</v>
      </c>
      <c r="N26" s="39">
        <f>N14+N18+N24</f>
        <v>86565.24006451669</v>
      </c>
      <c r="O26" s="39">
        <f>O14+O18+O24</f>
        <v>88640.93526322636</v>
      </c>
      <c r="P26" s="39">
        <f>P14+P18+P24</f>
        <v>113575.11655796182</v>
      </c>
      <c r="Q26" s="39">
        <f>Q14+Q18+Q24</f>
        <v>116367.6142268026</v>
      </c>
      <c r="R26" s="39">
        <f>R14+R18+R24</f>
        <v>119104.26194226654</v>
      </c>
      <c r="S26" s="39">
        <f>S14+S18+S24</f>
        <v>121786.17670342121</v>
      </c>
    </row>
    <row r="27" spans="1:19" x14ac:dyDescent="0.25">
      <c r="A27" s="31" t="s">
        <v>151</v>
      </c>
      <c r="B27" s="36">
        <f>B26</f>
        <v>0</v>
      </c>
      <c r="C27" s="36">
        <f>B27+C26</f>
        <v>0</v>
      </c>
      <c r="D27" s="36">
        <f>C27+D26</f>
        <v>9800</v>
      </c>
      <c r="E27" s="36">
        <f>D27+E26</f>
        <v>20199</v>
      </c>
      <c r="F27" s="36">
        <f>E27+F26</f>
        <v>40085.020000000004</v>
      </c>
      <c r="G27" s="36">
        <f>F27+G26</f>
        <v>61145.3196</v>
      </c>
      <c r="H27" s="36">
        <f>G27+H26</f>
        <v>93156.413208</v>
      </c>
      <c r="I27" s="36">
        <f>H27+I26</f>
        <v>154894.28494384</v>
      </c>
      <c r="J27" s="36">
        <f>I27+J26</f>
        <v>232724.3992449632</v>
      </c>
      <c r="K27" s="36">
        <f>J27+K26</f>
        <v>312804.91126006393</v>
      </c>
      <c r="L27" s="36">
        <f>K27+L26</f>
        <v>395090.81303486263</v>
      </c>
      <c r="M27" s="36">
        <f>L27+M26</f>
        <v>479537.99677416537</v>
      </c>
      <c r="N27" s="36">
        <f>M27+N26</f>
        <v>566103.2368386821</v>
      </c>
      <c r="O27" s="36">
        <f>N27+O26</f>
        <v>654744.1721019085</v>
      </c>
      <c r="P27" s="36">
        <f>O27+P26</f>
        <v>768319.2886598703</v>
      </c>
      <c r="Q27" s="36">
        <f>P27+Q26</f>
        <v>884686.9028866729</v>
      </c>
      <c r="R27" s="36">
        <f>Q27+R26</f>
        <v>1003791.1648289394</v>
      </c>
      <c r="S27" s="36">
        <f>R27+S26</f>
        <v>1125577.3415323605</v>
      </c>
    </row>
    <row r="29" spans="1:1" x14ac:dyDescent="0.25">
      <c r="A29" s="40" t="s">
        <v>152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FormatPr defaultRowHeight="15" outlineLevelRow="0" outlineLevelCol="0" x14ac:dyDescent="55"/>
  <cols>
    <col min="1" max="1" width="44" customWidth="1"/>
    <col min="2" max="19" width="11" customWidth="1"/>
  </cols>
  <sheetData>
    <row r="1" spans="1:19" x14ac:dyDescent="0.25">
      <c r="A1" s="28" t="s">
        <v>153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3" t="s">
        <v>109</v>
      </c>
      <c r="B2" s="29">
        <v>1</v>
      </c>
      <c r="C2" s="29">
        <v>2</v>
      </c>
      <c r="D2" s="29">
        <v>3</v>
      </c>
      <c r="E2" s="29">
        <v>4</v>
      </c>
      <c r="F2" s="29">
        <v>5</v>
      </c>
      <c r="G2" s="29">
        <v>6</v>
      </c>
      <c r="H2" s="29">
        <v>7</v>
      </c>
      <c r="I2" s="29">
        <v>8</v>
      </c>
      <c r="J2" s="29">
        <v>9</v>
      </c>
      <c r="K2" s="29">
        <v>10</v>
      </c>
      <c r="L2" s="29">
        <v>11</v>
      </c>
      <c r="M2" s="29">
        <v>12</v>
      </c>
      <c r="N2" s="29">
        <v>13</v>
      </c>
      <c r="O2" s="29">
        <v>14</v>
      </c>
      <c r="P2" s="29">
        <v>15</v>
      </c>
      <c r="Q2" s="29">
        <v>16</v>
      </c>
      <c r="R2" s="29">
        <v>17</v>
      </c>
      <c r="S2" s="29">
        <v>18</v>
      </c>
    </row>
    <row r="3" spans="1:19" x14ac:dyDescent="0.25">
      <c r="A3" s="3" t="s">
        <v>110</v>
      </c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  <c r="G3" s="20" t="s">
        <v>116</v>
      </c>
      <c r="H3" s="20" t="s">
        <v>117</v>
      </c>
      <c r="I3" s="20" t="s">
        <v>118</v>
      </c>
      <c r="J3" s="20" t="s">
        <v>119</v>
      </c>
      <c r="K3" s="20" t="s">
        <v>120</v>
      </c>
      <c r="L3" s="20" t="s">
        <v>121</v>
      </c>
      <c r="M3" s="20" t="s">
        <v>122</v>
      </c>
      <c r="N3" s="20" t="s">
        <v>123</v>
      </c>
      <c r="O3" s="20" t="s">
        <v>124</v>
      </c>
      <c r="P3" s="20" t="s">
        <v>125</v>
      </c>
      <c r="Q3" s="20" t="s">
        <v>126</v>
      </c>
      <c r="R3" s="20" t="s">
        <v>127</v>
      </c>
      <c r="S3" s="20" t="s">
        <v>128</v>
      </c>
    </row>
    <row r="5" spans="1:19" x14ac:dyDescent="0.25">
      <c r="A5" s="3" t="s">
        <v>154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5" t="s">
        <v>155</v>
      </c>
      <c r="B6" s="41">
        <f>Revenue!B26*Assumptions!$B$16+(Revenue!B11+Revenue!B6+Revenue!B21+Revenue!B23)*Assumptions!$B$17</f>
        <v>0</v>
      </c>
      <c r="C6" s="41">
        <f>Revenue!C26*Assumptions!$B$16+(Revenue!C11+Revenue!C6+Revenue!C21+Revenue!C23)*Assumptions!$B$17</f>
        <v>0</v>
      </c>
      <c r="D6" s="41">
        <f>Revenue!D26*Assumptions!$B$16+(Revenue!D11+Revenue!D6+Revenue!D21+Revenue!D23)*Assumptions!$B$17</f>
        <v>285.09999999999997</v>
      </c>
      <c r="E6" s="41">
        <f>Revenue!E26*Assumptions!$B$16+(Revenue!E11+Revenue!E6+Revenue!E21+Revenue!E23)*Assumptions!$B$17</f>
        <v>302.771</v>
      </c>
      <c r="F6" s="41">
        <f>Revenue!F26*Assumptions!$B$16+(Revenue!F11+Revenue!F6+Revenue!F21+Revenue!F23)*Assumptions!$B$17</f>
        <v>578.7885800000001</v>
      </c>
      <c r="G6" s="41">
        <f>Revenue!G26*Assumptions!$B$16+(Revenue!G11+Revenue!G6+Revenue!G21+Revenue!G23)*Assumptions!$B$17</f>
        <v>613.4308084</v>
      </c>
      <c r="H6" s="41">
        <f>Revenue!H26*Assumptions!$B$16+(Revenue!H11+Revenue!H6+Revenue!H21+Revenue!H23)*Assumptions!$B$17</f>
        <v>932.480192232</v>
      </c>
      <c r="I6" s="41">
        <f>Revenue!I26*Assumptions!$B$16+(Revenue!I11+Revenue!I6+Revenue!I21+Revenue!I23)*Assumptions!$B$17</f>
        <v>1795.42158838736</v>
      </c>
      <c r="J6" s="41">
        <f>Revenue!J26*Assumptions!$B$16+(Revenue!J11+Revenue!J6+Revenue!J21+Revenue!J23)*Assumptions!$B$17</f>
        <v>2262.9441566196133</v>
      </c>
      <c r="K6" s="41">
        <f>Revenue!K26*Assumptions!$B$16+(Revenue!K11+Revenue!K6+Revenue!K21+Revenue!K23)*Assumptions!$B$17</f>
        <v>2329.036273487221</v>
      </c>
      <c r="L6" s="41">
        <f>Revenue!L26*Assumptions!$B$16+(Revenue!L11+Revenue!L6+Revenue!L21+Revenue!L23)*Assumptions!$B$17</f>
        <v>2393.8065480174764</v>
      </c>
      <c r="M6" s="41">
        <f>Revenue!M26*Assumptions!$B$16+(Revenue!M11+Revenue!M6+Revenue!M21+Revenue!M23)*Assumptions!$B$17</f>
        <v>2457.281417057127</v>
      </c>
      <c r="N6" s="41">
        <f>Revenue!N26*Assumptions!$B$16+(Revenue!N11+Revenue!N6+Revenue!N21+Revenue!N23)*Assumptions!$B$17</f>
        <v>2519.4867887159844</v>
      </c>
      <c r="O6" s="41">
        <f>Revenue!O26*Assumptions!$B$16+(Revenue!O11+Revenue!O6+Revenue!O21+Revenue!O23)*Assumptions!$B$17</f>
        <v>2580.4480529416646</v>
      </c>
      <c r="P6" s="41">
        <f>Revenue!P26*Assumptions!$B$16+(Revenue!P11+Revenue!P6+Revenue!P21+Revenue!P23)*Assumptions!$B$17</f>
        <v>3304.890091882831</v>
      </c>
      <c r="Q6" s="41">
        <f>Revenue!Q26*Assumptions!$B$16+(Revenue!Q11+Revenue!Q6+Revenue!Q21+Revenue!Q23)*Assumptions!$B$17</f>
        <v>3386.908290045175</v>
      </c>
      <c r="R6" s="41">
        <f>Revenue!R26*Assumptions!$B$16+(Revenue!R11+Revenue!R6+Revenue!R21+Revenue!R23)*Assumptions!$B$17</f>
        <v>3467.2861242442714</v>
      </c>
      <c r="S6" s="41">
        <f>Revenue!S26*Assumptions!$B$16+(Revenue!S11+Revenue!S6+Revenue!S21+Revenue!S23)*Assumptions!$B$17</f>
        <v>3546.0564017593856</v>
      </c>
    </row>
    <row r="7" spans="1:19" x14ac:dyDescent="0.25">
      <c r="A7" s="5" t="s">
        <v>156</v>
      </c>
      <c r="B7" s="41">
        <f>Revenue!B8*Assumptions!$B$18+Revenue!B9*Assumptions!$B$19</f>
        <v>0</v>
      </c>
      <c r="C7" s="41">
        <f>Revenue!C8*Assumptions!$B$18+Revenue!C9*Assumptions!$B$19</f>
        <v>0</v>
      </c>
      <c r="D7" s="41">
        <f>Revenue!D8*Assumptions!$B$18+Revenue!D9*Assumptions!$B$19</f>
        <v>2500</v>
      </c>
      <c r="E7" s="41">
        <f>Revenue!E8*Assumptions!$B$18+Revenue!E9*Assumptions!$B$19</f>
        <v>2500</v>
      </c>
      <c r="F7" s="41">
        <f>Revenue!F8*Assumptions!$B$18+Revenue!F9*Assumptions!$B$19</f>
        <v>5000</v>
      </c>
      <c r="G7" s="41">
        <f>Revenue!G8*Assumptions!$B$18+Revenue!G9*Assumptions!$B$19</f>
        <v>5000</v>
      </c>
      <c r="H7" s="41">
        <f>Revenue!H8*Assumptions!$B$18+Revenue!H9*Assumptions!$B$19</f>
        <v>7500</v>
      </c>
      <c r="I7" s="41">
        <f>Revenue!I8*Assumptions!$B$18+Revenue!I9*Assumptions!$B$19</f>
        <v>14500</v>
      </c>
      <c r="J7" s="41">
        <f>Revenue!J8*Assumptions!$B$18+Revenue!J9*Assumptions!$B$19</f>
        <v>18000</v>
      </c>
      <c r="K7" s="41">
        <f>Revenue!K8*Assumptions!$B$18+Revenue!K9*Assumptions!$B$19</f>
        <v>18000</v>
      </c>
      <c r="L7" s="41">
        <f>Revenue!L8*Assumptions!$B$18+Revenue!L9*Assumptions!$B$19</f>
        <v>18000</v>
      </c>
      <c r="M7" s="41">
        <f>Revenue!M8*Assumptions!$B$18+Revenue!M9*Assumptions!$B$19</f>
        <v>18000</v>
      </c>
      <c r="N7" s="41">
        <f>Revenue!N8*Assumptions!$B$18+Revenue!N9*Assumptions!$B$19</f>
        <v>18000</v>
      </c>
      <c r="O7" s="41">
        <f>Revenue!O8*Assumptions!$B$18+Revenue!O9*Assumptions!$B$19</f>
        <v>18000</v>
      </c>
      <c r="P7" s="41">
        <f>Revenue!P8*Assumptions!$B$18+Revenue!P9*Assumptions!$B$19</f>
        <v>24000</v>
      </c>
      <c r="Q7" s="41">
        <f>Revenue!Q8*Assumptions!$B$18+Revenue!Q9*Assumptions!$B$19</f>
        <v>24000</v>
      </c>
      <c r="R7" s="41">
        <f>Revenue!R8*Assumptions!$B$18+Revenue!R9*Assumptions!$B$19</f>
        <v>24000</v>
      </c>
      <c r="S7" s="41">
        <f>Revenue!S8*Assumptions!$B$18+Revenue!S9*Assumptions!$B$19</f>
        <v>24000</v>
      </c>
    </row>
    <row r="8" spans="1:19" x14ac:dyDescent="0.25">
      <c r="A8" s="5" t="s">
        <v>157</v>
      </c>
      <c r="B8" s="41">
        <f>Revenue!B11*Assumptions!$B$20</f>
        <v>0</v>
      </c>
      <c r="C8" s="41">
        <f>Revenue!C11*Assumptions!$B$20</f>
        <v>0</v>
      </c>
      <c r="D8" s="41">
        <f>Revenue!D11*Assumptions!$B$20</f>
        <v>150</v>
      </c>
      <c r="E8" s="41">
        <f>Revenue!E11*Assumptions!$B$20</f>
        <v>150</v>
      </c>
      <c r="F8" s="41">
        <f>Revenue!F11*Assumptions!$B$20</f>
        <v>225</v>
      </c>
      <c r="G8" s="41">
        <f>Revenue!G11*Assumptions!$B$20</f>
        <v>225</v>
      </c>
      <c r="H8" s="41">
        <f>Revenue!H11*Assumptions!$B$20</f>
        <v>375</v>
      </c>
      <c r="I8" s="41">
        <f>Revenue!I11*Assumptions!$B$20</f>
        <v>375</v>
      </c>
      <c r="J8" s="41">
        <f>Revenue!J11*Assumptions!$B$20</f>
        <v>375</v>
      </c>
      <c r="K8" s="41">
        <f>Revenue!K11*Assumptions!$B$20</f>
        <v>375</v>
      </c>
      <c r="L8" s="41">
        <f>Revenue!L11*Assumptions!$B$20</f>
        <v>375</v>
      </c>
      <c r="M8" s="41">
        <f>Revenue!M11*Assumptions!$B$20</f>
        <v>375</v>
      </c>
      <c r="N8" s="41">
        <f>Revenue!N11*Assumptions!$B$20</f>
        <v>375</v>
      </c>
      <c r="O8" s="41">
        <f>Revenue!O11*Assumptions!$B$20</f>
        <v>375</v>
      </c>
      <c r="P8" s="41">
        <f>Revenue!P11*Assumptions!$B$20</f>
        <v>450</v>
      </c>
      <c r="Q8" s="41">
        <f>Revenue!Q11*Assumptions!$B$20</f>
        <v>450</v>
      </c>
      <c r="R8" s="41">
        <f>Revenue!R11*Assumptions!$B$20</f>
        <v>450</v>
      </c>
      <c r="S8" s="41">
        <f>Revenue!S11*Assumptions!$B$20</f>
        <v>450</v>
      </c>
    </row>
    <row r="9" spans="1:19" x14ac:dyDescent="0.25">
      <c r="A9" s="5" t="s">
        <v>158</v>
      </c>
      <c r="B9" s="41">
        <f>(Revenue!B21+Revenue!B23)*Assumptions!$B$21</f>
        <v>0</v>
      </c>
      <c r="C9" s="41">
        <f>(Revenue!C21+Revenue!C23)*Assumptions!$B$21</f>
        <v>0</v>
      </c>
      <c r="D9" s="41">
        <f>(Revenue!D21+Revenue!D23)*Assumptions!$B$21</f>
        <v>0</v>
      </c>
      <c r="E9" s="41">
        <f>(Revenue!E21+Revenue!E23)*Assumptions!$B$21</f>
        <v>35</v>
      </c>
      <c r="F9" s="41">
        <f>(Revenue!F21+Revenue!F23)*Assumptions!$B$21</f>
        <v>69.3</v>
      </c>
      <c r="G9" s="41">
        <f>(Revenue!G21+Revenue!G23)*Assumptions!$B$21</f>
        <v>137.914</v>
      </c>
      <c r="H9" s="41">
        <f>(Revenue!H21+Revenue!H23)*Assumptions!$B$21</f>
        <v>205.15572</v>
      </c>
      <c r="I9" s="41">
        <f>(Revenue!I21+Revenue!I23)*Assumptions!$B$21</f>
        <v>306.0526056</v>
      </c>
      <c r="J9" s="41">
        <f>(Revenue!J21+Revenue!J23)*Assumptions!$B$21</f>
        <v>404.93155348799996</v>
      </c>
      <c r="K9" s="41">
        <f>(Revenue!K21+Revenue!K23)*Assumptions!$B$21</f>
        <v>501.83292241823995</v>
      </c>
      <c r="L9" s="41">
        <f>(Revenue!L21+Revenue!L23)*Assumptions!$B$21</f>
        <v>596.7962639698752</v>
      </c>
      <c r="M9" s="41">
        <f>(Revenue!M21+Revenue!M23)*Assumptions!$B$21</f>
        <v>689.8603386904776</v>
      </c>
      <c r="N9" s="41">
        <f>(Revenue!N21+Revenue!N23)*Assumptions!$B$21</f>
        <v>781.063131916668</v>
      </c>
      <c r="O9" s="41">
        <f>(Revenue!O21+Revenue!O23)*Assumptions!$B$21</f>
        <v>870.4418692783347</v>
      </c>
      <c r="P9" s="41">
        <f>(Revenue!P21+Revenue!P23)*Assumptions!$B$21</f>
        <v>958.033031892768</v>
      </c>
      <c r="Q9" s="41">
        <f>(Revenue!Q21+Revenue!Q23)*Assumptions!$B$21</f>
        <v>1078.8723712549127</v>
      </c>
      <c r="R9" s="41">
        <f>(Revenue!R21+Revenue!R23)*Assumptions!$B$21</f>
        <v>1197.2949238298143</v>
      </c>
      <c r="S9" s="41">
        <f>(Revenue!S21+Revenue!S23)*Assumptions!$B$21</f>
        <v>1313.3490253532182</v>
      </c>
    </row>
    <row r="10" spans="1:19" x14ac:dyDescent="0.25">
      <c r="A10" s="38" t="s">
        <v>4</v>
      </c>
      <c r="B10" s="39">
        <f>SUM(B6:B9)</f>
        <v>0</v>
      </c>
      <c r="C10" s="39">
        <f>SUM(C6:C9)</f>
        <v>0</v>
      </c>
      <c r="D10" s="39">
        <f>SUM(D6:D9)</f>
        <v>2935.1</v>
      </c>
      <c r="E10" s="39">
        <f>SUM(E6:E9)</f>
        <v>2987.771</v>
      </c>
      <c r="F10" s="39">
        <f>SUM(F6:F9)</f>
        <v>5873.088580000001</v>
      </c>
      <c r="G10" s="39">
        <f>SUM(G6:G9)</f>
        <v>5976.3448084</v>
      </c>
      <c r="H10" s="39">
        <f>SUM(H6:H9)</f>
        <v>9012.635912232001</v>
      </c>
      <c r="I10" s="39">
        <f>SUM(I6:I9)</f>
        <v>16976.474193987364</v>
      </c>
      <c r="J10" s="39">
        <f>SUM(J6:J9)</f>
        <v>21042.875710107615</v>
      </c>
      <c r="K10" s="39">
        <f>SUM(K6:K9)</f>
        <v>21205.869195905463</v>
      </c>
      <c r="L10" s="39">
        <f>SUM(L6:L9)</f>
        <v>21365.60281198735</v>
      </c>
      <c r="M10" s="39">
        <f>SUM(M6:M9)</f>
        <v>21522.1417557476</v>
      </c>
      <c r="N10" s="39">
        <f>SUM(N6:N9)</f>
        <v>21675.549920632653</v>
      </c>
      <c r="O10" s="39">
        <f>SUM(O6:O9)</f>
        <v>21825.889922219998</v>
      </c>
      <c r="P10" s="39">
        <f>SUM(P6:P9)</f>
        <v>28712.923123775596</v>
      </c>
      <c r="Q10" s="39">
        <f>SUM(Q6:Q9)</f>
        <v>28915.780661300087</v>
      </c>
      <c r="R10" s="39">
        <f>SUM(R6:R9)</f>
        <v>29114.581048074084</v>
      </c>
      <c r="S10" s="39">
        <f>SUM(S6:S9)</f>
        <v>29309.405427112604</v>
      </c>
    </row>
    <row r="11" spans="1:19" x14ac:dyDescent="0.25">
      <c r="A11" s="3" t="s">
        <v>159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25">
      <c r="A12" s="5" t="s">
        <v>160</v>
      </c>
      <c r="B12" s="41">
        <f>Revenue!B26</f>
        <v>0</v>
      </c>
      <c r="C12" s="41">
        <f>Revenue!C26</f>
        <v>0</v>
      </c>
      <c r="D12" s="41">
        <f>Revenue!D26</f>
        <v>9800</v>
      </c>
      <c r="E12" s="41">
        <f>Revenue!E26</f>
        <v>10399</v>
      </c>
      <c r="F12" s="41">
        <f>Revenue!F26</f>
        <v>19886.02</v>
      </c>
      <c r="G12" s="41">
        <f>Revenue!G26</f>
        <v>21060.2996</v>
      </c>
      <c r="H12" s="41">
        <f>Revenue!H26</f>
        <v>32011.093608</v>
      </c>
      <c r="I12" s="41">
        <f>Revenue!I26</f>
        <v>61737.87173584</v>
      </c>
      <c r="J12" s="41">
        <f>Revenue!J26</f>
        <v>77830.1143011232</v>
      </c>
      <c r="K12" s="41">
        <f>Revenue!K26</f>
        <v>80080.51201510074</v>
      </c>
      <c r="L12" s="41">
        <f>Revenue!L26</f>
        <v>82285.90177479872</v>
      </c>
      <c r="M12" s="41">
        <f>Revenue!M26</f>
        <v>84447.18373930274</v>
      </c>
      <c r="N12" s="41">
        <f>Revenue!N26</f>
        <v>86565.24006451669</v>
      </c>
      <c r="O12" s="41">
        <f>Revenue!O26</f>
        <v>88640.93526322636</v>
      </c>
      <c r="P12" s="41">
        <f>Revenue!P26</f>
        <v>113575.11655796182</v>
      </c>
      <c r="Q12" s="41">
        <f>Revenue!Q26</f>
        <v>116367.6142268026</v>
      </c>
      <c r="R12" s="41">
        <f>Revenue!R26</f>
        <v>119104.26194226654</v>
      </c>
      <c r="S12" s="41">
        <f>Revenue!S26</f>
        <v>121786.17670342121</v>
      </c>
    </row>
    <row r="13" spans="1:19" x14ac:dyDescent="0.25">
      <c r="A13" s="38" t="s">
        <v>161</v>
      </c>
      <c r="B13" s="39">
        <f>B12-B10</f>
        <v>0</v>
      </c>
      <c r="C13" s="39">
        <f>C12-C10</f>
        <v>0</v>
      </c>
      <c r="D13" s="39">
        <f>D12-D10</f>
        <v>6864.9</v>
      </c>
      <c r="E13" s="39">
        <f>E12-E10</f>
        <v>7411.228999999999</v>
      </c>
      <c r="F13" s="39">
        <f>F12-F10</f>
        <v>14012.93142</v>
      </c>
      <c r="G13" s="39">
        <f>G12-G10</f>
        <v>15083.954791599997</v>
      </c>
      <c r="H13" s="39">
        <f>H12-H10</f>
        <v>22998.457695767996</v>
      </c>
      <c r="I13" s="39">
        <f>I12-I10</f>
        <v>44761.39754185264</v>
      </c>
      <c r="J13" s="39">
        <f>J12-J10</f>
        <v>56787.238591015586</v>
      </c>
      <c r="K13" s="39">
        <f>K12-K10</f>
        <v>58874.64281919528</v>
      </c>
      <c r="L13" s="39">
        <f>L12-L10</f>
        <v>60920.29896281137</v>
      </c>
      <c r="M13" s="39">
        <f>M12-M10</f>
        <v>62925.04198355514</v>
      </c>
      <c r="N13" s="39">
        <f>N12-N10</f>
        <v>64889.69014388404</v>
      </c>
      <c r="O13" s="39">
        <f>O12-O10</f>
        <v>66815.04534100636</v>
      </c>
      <c r="P13" s="39">
        <f>P12-P10</f>
        <v>84862.19343418622</v>
      </c>
      <c r="Q13" s="39">
        <f>Q12-Q10</f>
        <v>87451.83356550251</v>
      </c>
      <c r="R13" s="39">
        <f>R12-R10</f>
        <v>89989.68089419245</v>
      </c>
      <c r="S13" s="39">
        <f>S12-S10</f>
        <v>92476.7712763086</v>
      </c>
    </row>
    <row r="14" spans="1:19" x14ac:dyDescent="0.25">
      <c r="A14" s="31" t="s">
        <v>162</v>
      </c>
      <c r="B14" s="42">
        <f>IF(B12=0,0,B13/B12)</f>
        <v>0</v>
      </c>
      <c r="C14" s="42">
        <f>IF(C12=0,0,C13/C12)</f>
        <v>0</v>
      </c>
      <c r="D14" s="42">
        <f>IF(D12=0,0,D13/D12)</f>
        <v>0.7005</v>
      </c>
      <c r="E14" s="42">
        <f>IF(E12=0,0,E13/E12)</f>
        <v>0.7126867006442926</v>
      </c>
      <c r="F14" s="42">
        <f>IF(F12=0,0,F13/F12)</f>
        <v>0.7046624422584308</v>
      </c>
      <c r="G14" s="42">
        <f>IF(G12=0,0,G13/G12)</f>
        <v>0.7162269805316539</v>
      </c>
      <c r="H14" s="42">
        <f>IF(H12=0,0,H13/H12)</f>
        <v>0.7184527332118505</v>
      </c>
      <c r="I14" s="42">
        <f>IF(I12=0,0,I13/I12)</f>
        <v>0.7250233330584313</v>
      </c>
      <c r="J14" s="42">
        <f>IF(J12=0,0,J13/J12)</f>
        <v>0.7296306718927182</v>
      </c>
      <c r="K14" s="42">
        <f>IF(K12=0,0,K13/K12)</f>
        <v>0.7351931367283631</v>
      </c>
      <c r="L14" s="42">
        <f>IF(L12=0,0,L13/L12)</f>
        <v>0.740349168555495</v>
      </c>
      <c r="M14" s="42">
        <f>IF(M12=0,0,M13/M12)</f>
        <v>0.7451407992220475</v>
      </c>
      <c r="N14" s="42">
        <f>IF(N12=0,0,N13/N12)</f>
        <v>0.7496044612770905</v>
      </c>
      <c r="O14" s="42">
        <f>IF(O12=0,0,O13/O12)</f>
        <v>0.7537718904092532</v>
      </c>
      <c r="P14" s="42">
        <f>IF(P12=0,0,P13/P12)</f>
        <v>0.7471900184304695</v>
      </c>
      <c r="Q14" s="42">
        <f>IF(Q12=0,0,Q13/Q12)</f>
        <v>0.7515135043935618</v>
      </c>
      <c r="R14" s="42">
        <f>IF(R12=0,0,R13/R12)</f>
        <v>0.7555538267624141</v>
      </c>
      <c r="S14" s="42">
        <f>IF(S12=0,0,S13/S12)</f>
        <v>0.7593371742140481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FormatPr defaultRowHeight="15" outlineLevelRow="0" outlineLevelCol="0" x14ac:dyDescent="55"/>
  <cols>
    <col min="1" max="1" width="44" customWidth="1"/>
    <col min="2" max="19" width="11" customWidth="1"/>
  </cols>
  <sheetData>
    <row r="1" spans="1:19" x14ac:dyDescent="0.25">
      <c r="A1" s="28" t="s">
        <v>163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3" t="s">
        <v>109</v>
      </c>
      <c r="B2" s="29">
        <v>1</v>
      </c>
      <c r="C2" s="29">
        <v>2</v>
      </c>
      <c r="D2" s="29">
        <v>3</v>
      </c>
      <c r="E2" s="29">
        <v>4</v>
      </c>
      <c r="F2" s="29">
        <v>5</v>
      </c>
      <c r="G2" s="29">
        <v>6</v>
      </c>
      <c r="H2" s="29">
        <v>7</v>
      </c>
      <c r="I2" s="29">
        <v>8</v>
      </c>
      <c r="J2" s="29">
        <v>9</v>
      </c>
      <c r="K2" s="29">
        <v>10</v>
      </c>
      <c r="L2" s="29">
        <v>11</v>
      </c>
      <c r="M2" s="29">
        <v>12</v>
      </c>
      <c r="N2" s="29">
        <v>13</v>
      </c>
      <c r="O2" s="29">
        <v>14</v>
      </c>
      <c r="P2" s="29">
        <v>15</v>
      </c>
      <c r="Q2" s="29">
        <v>16</v>
      </c>
      <c r="R2" s="29">
        <v>17</v>
      </c>
      <c r="S2" s="29">
        <v>18</v>
      </c>
    </row>
    <row r="3" spans="1:19" x14ac:dyDescent="0.25">
      <c r="A3" s="3" t="s">
        <v>110</v>
      </c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  <c r="G3" s="20" t="s">
        <v>116</v>
      </c>
      <c r="H3" s="20" t="s">
        <v>117</v>
      </c>
      <c r="I3" s="20" t="s">
        <v>118</v>
      </c>
      <c r="J3" s="20" t="s">
        <v>119</v>
      </c>
      <c r="K3" s="20" t="s">
        <v>120</v>
      </c>
      <c r="L3" s="20" t="s">
        <v>121</v>
      </c>
      <c r="M3" s="20" t="s">
        <v>122</v>
      </c>
      <c r="N3" s="20" t="s">
        <v>123</v>
      </c>
      <c r="O3" s="20" t="s">
        <v>124</v>
      </c>
      <c r="P3" s="20" t="s">
        <v>125</v>
      </c>
      <c r="Q3" s="20" t="s">
        <v>126</v>
      </c>
      <c r="R3" s="20" t="s">
        <v>127</v>
      </c>
      <c r="S3" s="20" t="s">
        <v>128</v>
      </c>
    </row>
    <row r="5" spans="1:19" x14ac:dyDescent="0.25">
      <c r="A5" s="3" t="s">
        <v>164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5" t="s">
        <v>165</v>
      </c>
      <c r="B6" s="35">
        <f>Assumptions!$B$24</f>
        <v>6000</v>
      </c>
      <c r="C6" s="35">
        <f>Assumptions!$B$24</f>
        <v>6000</v>
      </c>
      <c r="D6" s="35">
        <f>Assumptions!$B$24</f>
        <v>6000</v>
      </c>
      <c r="E6" s="35">
        <f>Assumptions!$B$24</f>
        <v>6000</v>
      </c>
      <c r="F6" s="35">
        <f>Assumptions!$B$24</f>
        <v>6000</v>
      </c>
      <c r="G6" s="35">
        <f>Assumptions!$B$24</f>
        <v>6000</v>
      </c>
      <c r="H6" s="35">
        <f>Assumptions!$B$24</f>
        <v>6000</v>
      </c>
      <c r="I6" s="35">
        <f>Assumptions!$B$24</f>
        <v>6000</v>
      </c>
      <c r="J6" s="35">
        <f>Assumptions!$B$24</f>
        <v>6000</v>
      </c>
      <c r="K6" s="35">
        <f>Assumptions!$B$24</f>
        <v>6000</v>
      </c>
      <c r="L6" s="35">
        <f>Assumptions!$B$24</f>
        <v>6000</v>
      </c>
      <c r="M6" s="35">
        <f>Assumptions!$B$24</f>
        <v>6000</v>
      </c>
      <c r="N6" s="35">
        <f>Assumptions!$B$24</f>
        <v>6000</v>
      </c>
      <c r="O6" s="35">
        <f>Assumptions!$B$24</f>
        <v>6000</v>
      </c>
      <c r="P6" s="35">
        <f>Assumptions!$B$24</f>
        <v>6000</v>
      </c>
      <c r="Q6" s="35">
        <f>Assumptions!$B$24</f>
        <v>6000</v>
      </c>
      <c r="R6" s="35">
        <f>Assumptions!$B$24</f>
        <v>6000</v>
      </c>
      <c r="S6" s="35">
        <f>Assumptions!$B$24</f>
        <v>6000</v>
      </c>
    </row>
    <row r="7" spans="1:19" x14ac:dyDescent="0.25">
      <c r="A7" s="5" t="s">
        <v>166</v>
      </c>
      <c r="B7" s="35">
        <f>Assumptions!$B$25*(1+Assumptions!$B$26)^(B2-1)</f>
        <v>350</v>
      </c>
      <c r="C7" s="35">
        <f>Assumptions!$B$25*(1+Assumptions!$B$26)^(C2-1)</f>
        <v>360.5</v>
      </c>
      <c r="D7" s="35">
        <f>Assumptions!$B$25*(1+Assumptions!$B$26)^(D2-1)</f>
        <v>371.315</v>
      </c>
      <c r="E7" s="35">
        <f>Assumptions!$B$25*(1+Assumptions!$B$26)^(E2-1)</f>
        <v>382.45445</v>
      </c>
      <c r="F7" s="35">
        <f>Assumptions!$B$25*(1+Assumptions!$B$26)^(F2-1)</f>
        <v>393.92808350000007</v>
      </c>
      <c r="G7" s="35">
        <f>Assumptions!$B$25*(1+Assumptions!$B$26)^(G2-1)</f>
        <v>405.745926005</v>
      </c>
      <c r="H7" s="35">
        <f>Assumptions!$B$25*(1+Assumptions!$B$26)^(H2-1)</f>
        <v>417.91830378515004</v>
      </c>
      <c r="I7" s="35">
        <f>Assumptions!$B$25*(1+Assumptions!$B$26)^(I2-1)</f>
        <v>430.45585289870456</v>
      </c>
      <c r="J7" s="35">
        <f>Assumptions!$B$25*(1+Assumptions!$B$26)^(J2-1)</f>
        <v>443.36952848566574</v>
      </c>
      <c r="K7" s="35">
        <f>Assumptions!$B$25*(1+Assumptions!$B$26)^(K2-1)</f>
        <v>456.6706143402357</v>
      </c>
      <c r="L7" s="35">
        <f>Assumptions!$B$25*(1+Assumptions!$B$26)^(L2-1)</f>
        <v>470.37073277044277</v>
      </c>
      <c r="M7" s="35">
        <f>Assumptions!$B$25*(1+Assumptions!$B$26)^(M2-1)</f>
        <v>484.4818547535561</v>
      </c>
      <c r="N7" s="35">
        <f>Assumptions!$B$25*(1+Assumptions!$B$26)^(N2-1)</f>
        <v>499.01631039616274</v>
      </c>
      <c r="O7" s="35">
        <f>Assumptions!$B$25*(1+Assumptions!$B$26)^(O2-1)</f>
        <v>513.9867997080477</v>
      </c>
      <c r="P7" s="35">
        <f>Assumptions!$B$25*(1+Assumptions!$B$26)^(P2-1)</f>
        <v>529.4064036992892</v>
      </c>
      <c r="Q7" s="35">
        <f>Assumptions!$B$25*(1+Assumptions!$B$26)^(Q2-1)</f>
        <v>545.2885958102678</v>
      </c>
      <c r="R7" s="35">
        <f>Assumptions!$B$25*(1+Assumptions!$B$26)^(R2-1)</f>
        <v>561.6472536845758</v>
      </c>
      <c r="S7" s="35">
        <f>Assumptions!$B$25*(1+Assumptions!$B$26)^(S2-1)</f>
        <v>578.4966712951132</v>
      </c>
    </row>
    <row r="8" spans="1:19" x14ac:dyDescent="0.25">
      <c r="A8" s="5" t="s">
        <v>167</v>
      </c>
      <c r="B8" s="35">
        <f>Assumptions!$B$27*(1+Assumptions!$B$28)^(B2-1)</f>
        <v>300</v>
      </c>
      <c r="C8" s="35">
        <f>Assumptions!$B$27*(1+Assumptions!$B$28)^(C2-1)</f>
        <v>315</v>
      </c>
      <c r="D8" s="35">
        <f>Assumptions!$B$27*(1+Assumptions!$B$28)^(D2-1)</f>
        <v>330.75</v>
      </c>
      <c r="E8" s="35">
        <f>Assumptions!$B$27*(1+Assumptions!$B$28)^(E2-1)</f>
        <v>347.2875</v>
      </c>
      <c r="F8" s="35">
        <f>Assumptions!$B$27*(1+Assumptions!$B$28)^(F2-1)</f>
        <v>364.6518750000001</v>
      </c>
      <c r="G8" s="35">
        <f>Assumptions!$B$27*(1+Assumptions!$B$28)^(G2-1)</f>
        <v>382.8844687500001</v>
      </c>
      <c r="H8" s="35">
        <f>Assumptions!$B$27*(1+Assumptions!$B$28)^(H2-1)</f>
        <v>402.0286921875001</v>
      </c>
      <c r="I8" s="35">
        <f>Assumptions!$B$27*(1+Assumptions!$B$28)^(I2-1)</f>
        <v>422.1301267968751</v>
      </c>
      <c r="J8" s="35">
        <f>Assumptions!$B$27*(1+Assumptions!$B$28)^(J2-1)</f>
        <v>443.2366331367189</v>
      </c>
      <c r="K8" s="35">
        <f>Assumptions!$B$27*(1+Assumptions!$B$28)^(K2-1)</f>
        <v>465.39846479355487</v>
      </c>
      <c r="L8" s="35">
        <f>Assumptions!$B$27*(1+Assumptions!$B$28)^(L2-1)</f>
        <v>488.6683880332326</v>
      </c>
      <c r="M8" s="35">
        <f>Assumptions!$B$27*(1+Assumptions!$B$28)^(M2-1)</f>
        <v>513.1018074348942</v>
      </c>
      <c r="N8" s="35">
        <f>Assumptions!$B$27*(1+Assumptions!$B$28)^(N2-1)</f>
        <v>538.756897806639</v>
      </c>
      <c r="O8" s="35">
        <f>Assumptions!$B$27*(1+Assumptions!$B$28)^(O2-1)</f>
        <v>565.694742696971</v>
      </c>
      <c r="P8" s="35">
        <f>Assumptions!$B$27*(1+Assumptions!$B$28)^(P2-1)</f>
        <v>593.9794798318196</v>
      </c>
      <c r="Q8" s="35">
        <f>Assumptions!$B$27*(1+Assumptions!$B$28)^(Q2-1)</f>
        <v>623.6784538234107</v>
      </c>
      <c r="R8" s="35">
        <f>Assumptions!$B$27*(1+Assumptions!$B$28)^(R2-1)</f>
        <v>654.8623765145811</v>
      </c>
      <c r="S8" s="35">
        <f>Assumptions!$B$27*(1+Assumptions!$B$28)^(S2-1)</f>
        <v>687.6054953403102</v>
      </c>
    </row>
    <row r="9" spans="1:19" x14ac:dyDescent="0.25">
      <c r="A9" s="5" t="s">
        <v>168</v>
      </c>
      <c r="B9" s="35">
        <f>Assumptions!$B$29</f>
        <v>250</v>
      </c>
      <c r="C9" s="35">
        <f>Assumptions!$B$29</f>
        <v>250</v>
      </c>
      <c r="D9" s="35">
        <f>Assumptions!$B$29</f>
        <v>250</v>
      </c>
      <c r="E9" s="35">
        <f>Assumptions!$B$29</f>
        <v>250</v>
      </c>
      <c r="F9" s="35">
        <f>Assumptions!$B$29</f>
        <v>250</v>
      </c>
      <c r="G9" s="35">
        <f>Assumptions!$B$29</f>
        <v>250</v>
      </c>
      <c r="H9" s="35">
        <f>Assumptions!$B$29</f>
        <v>250</v>
      </c>
      <c r="I9" s="35">
        <f>Assumptions!$B$29</f>
        <v>250</v>
      </c>
      <c r="J9" s="35">
        <f>Assumptions!$B$29</f>
        <v>250</v>
      </c>
      <c r="K9" s="35">
        <f>Assumptions!$B$29</f>
        <v>250</v>
      </c>
      <c r="L9" s="35">
        <f>Assumptions!$B$29</f>
        <v>250</v>
      </c>
      <c r="M9" s="35">
        <f>Assumptions!$B$29</f>
        <v>250</v>
      </c>
      <c r="N9" s="35">
        <f>Assumptions!$B$29</f>
        <v>250</v>
      </c>
      <c r="O9" s="35">
        <f>Assumptions!$B$29</f>
        <v>250</v>
      </c>
      <c r="P9" s="35">
        <f>Assumptions!$B$29</f>
        <v>250</v>
      </c>
      <c r="Q9" s="35">
        <f>Assumptions!$B$29</f>
        <v>250</v>
      </c>
      <c r="R9" s="35">
        <f>Assumptions!$B$29</f>
        <v>250</v>
      </c>
      <c r="S9" s="35">
        <f>Assumptions!$B$29</f>
        <v>250</v>
      </c>
    </row>
    <row r="10" spans="1:19" x14ac:dyDescent="0.25">
      <c r="A10" s="5" t="s">
        <v>169</v>
      </c>
      <c r="B10" s="35">
        <f>IF(B2&gt;=Assumptions!$B$31,Assumptions!$B$30,0)</f>
        <v>0</v>
      </c>
      <c r="C10" s="35">
        <f>IF(C2&gt;=Assumptions!$B$31,Assumptions!$B$30,0)</f>
        <v>0</v>
      </c>
      <c r="D10" s="35">
        <f>IF(D2&gt;=Assumptions!$B$31,Assumptions!$B$30,0)</f>
        <v>150</v>
      </c>
      <c r="E10" s="35">
        <f>IF(E2&gt;=Assumptions!$B$31,Assumptions!$B$30,0)</f>
        <v>150</v>
      </c>
      <c r="F10" s="35">
        <f>IF(F2&gt;=Assumptions!$B$31,Assumptions!$B$30,0)</f>
        <v>150</v>
      </c>
      <c r="G10" s="35">
        <f>IF(G2&gt;=Assumptions!$B$31,Assumptions!$B$30,0)</f>
        <v>150</v>
      </c>
      <c r="H10" s="35">
        <f>IF(H2&gt;=Assumptions!$B$31,Assumptions!$B$30,0)</f>
        <v>150</v>
      </c>
      <c r="I10" s="35">
        <f>IF(I2&gt;=Assumptions!$B$31,Assumptions!$B$30,0)</f>
        <v>150</v>
      </c>
      <c r="J10" s="35">
        <f>IF(J2&gt;=Assumptions!$B$31,Assumptions!$B$30,0)</f>
        <v>150</v>
      </c>
      <c r="K10" s="35">
        <f>IF(K2&gt;=Assumptions!$B$31,Assumptions!$B$30,0)</f>
        <v>150</v>
      </c>
      <c r="L10" s="35">
        <f>IF(L2&gt;=Assumptions!$B$31,Assumptions!$B$30,0)</f>
        <v>150</v>
      </c>
      <c r="M10" s="35">
        <f>IF(M2&gt;=Assumptions!$B$31,Assumptions!$B$30,0)</f>
        <v>150</v>
      </c>
      <c r="N10" s="35">
        <f>IF(N2&gt;=Assumptions!$B$31,Assumptions!$B$30,0)</f>
        <v>150</v>
      </c>
      <c r="O10" s="35">
        <f>IF(O2&gt;=Assumptions!$B$31,Assumptions!$B$30,0)</f>
        <v>150</v>
      </c>
      <c r="P10" s="35">
        <f>IF(P2&gt;=Assumptions!$B$31,Assumptions!$B$30,0)</f>
        <v>150</v>
      </c>
      <c r="Q10" s="35">
        <f>IF(Q2&gt;=Assumptions!$B$31,Assumptions!$B$30,0)</f>
        <v>150</v>
      </c>
      <c r="R10" s="35">
        <f>IF(R2&gt;=Assumptions!$B$31,Assumptions!$B$30,0)</f>
        <v>150</v>
      </c>
      <c r="S10" s="35">
        <f>IF(S2&gt;=Assumptions!$B$31,Assumptions!$B$30,0)</f>
        <v>150</v>
      </c>
    </row>
    <row r="11" spans="1:19" x14ac:dyDescent="0.25">
      <c r="A11" s="5" t="s">
        <v>170</v>
      </c>
      <c r="B11" s="35">
        <f>Assumptions!$B$32</f>
        <v>150</v>
      </c>
      <c r="C11" s="35">
        <f>Assumptions!$B$32</f>
        <v>150</v>
      </c>
      <c r="D11" s="35">
        <f>Assumptions!$B$32</f>
        <v>150</v>
      </c>
      <c r="E11" s="35">
        <f>Assumptions!$B$32</f>
        <v>150</v>
      </c>
      <c r="F11" s="35">
        <f>Assumptions!$B$32</f>
        <v>150</v>
      </c>
      <c r="G11" s="35">
        <f>Assumptions!$B$32</f>
        <v>150</v>
      </c>
      <c r="H11" s="35">
        <f>Assumptions!$B$32</f>
        <v>150</v>
      </c>
      <c r="I11" s="35">
        <f>Assumptions!$B$32</f>
        <v>150</v>
      </c>
      <c r="J11" s="35">
        <f>Assumptions!$B$32</f>
        <v>150</v>
      </c>
      <c r="K11" s="35">
        <f>Assumptions!$B$32</f>
        <v>150</v>
      </c>
      <c r="L11" s="35">
        <f>Assumptions!$B$32</f>
        <v>150</v>
      </c>
      <c r="M11" s="35">
        <f>Assumptions!$B$32</f>
        <v>150</v>
      </c>
      <c r="N11" s="35">
        <f>Assumptions!$B$32</f>
        <v>150</v>
      </c>
      <c r="O11" s="35">
        <f>Assumptions!$B$32</f>
        <v>150</v>
      </c>
      <c r="P11" s="35">
        <f>Assumptions!$B$32</f>
        <v>150</v>
      </c>
      <c r="Q11" s="35">
        <f>Assumptions!$B$32</f>
        <v>150</v>
      </c>
      <c r="R11" s="35">
        <f>Assumptions!$B$32</f>
        <v>150</v>
      </c>
      <c r="S11" s="35">
        <f>Assumptions!$B$32</f>
        <v>150</v>
      </c>
    </row>
    <row r="12" spans="1:19" x14ac:dyDescent="0.25">
      <c r="A12" s="5" t="s">
        <v>171</v>
      </c>
      <c r="B12" s="35">
        <f>IF(B2&gt;=Assumptions!$B$34,Assumptions!$B$33,0)</f>
        <v>0</v>
      </c>
      <c r="C12" s="35">
        <f>IF(C2&gt;=Assumptions!$B$34,Assumptions!$B$33,0)</f>
        <v>0</v>
      </c>
      <c r="D12" s="35">
        <f>IF(D2&gt;=Assumptions!$B$34,Assumptions!$B$33,0)</f>
        <v>0</v>
      </c>
      <c r="E12" s="35">
        <f>IF(E2&gt;=Assumptions!$B$34,Assumptions!$B$33,0)</f>
        <v>0</v>
      </c>
      <c r="F12" s="35">
        <f>IF(F2&gt;=Assumptions!$B$34,Assumptions!$B$33,0)</f>
        <v>0</v>
      </c>
      <c r="G12" s="35">
        <f>IF(G2&gt;=Assumptions!$B$34,Assumptions!$B$33,0)</f>
        <v>0</v>
      </c>
      <c r="H12" s="35">
        <f>IF(H2&gt;=Assumptions!$B$34,Assumptions!$B$33,0)</f>
        <v>0</v>
      </c>
      <c r="I12" s="35">
        <f>IF(I2&gt;=Assumptions!$B$34,Assumptions!$B$33,0)</f>
        <v>0</v>
      </c>
      <c r="J12" s="35">
        <f>IF(J2&gt;=Assumptions!$B$34,Assumptions!$B$33,0)</f>
        <v>1200</v>
      </c>
      <c r="K12" s="35">
        <f>IF(K2&gt;=Assumptions!$B$34,Assumptions!$B$33,0)</f>
        <v>1200</v>
      </c>
      <c r="L12" s="35">
        <f>IF(L2&gt;=Assumptions!$B$34,Assumptions!$B$33,0)</f>
        <v>1200</v>
      </c>
      <c r="M12" s="35">
        <f>IF(M2&gt;=Assumptions!$B$34,Assumptions!$B$33,0)</f>
        <v>1200</v>
      </c>
      <c r="N12" s="35">
        <f>IF(N2&gt;=Assumptions!$B$34,Assumptions!$B$33,0)</f>
        <v>1200</v>
      </c>
      <c r="O12" s="35">
        <f>IF(O2&gt;=Assumptions!$B$34,Assumptions!$B$33,0)</f>
        <v>1200</v>
      </c>
      <c r="P12" s="35">
        <f>IF(P2&gt;=Assumptions!$B$34,Assumptions!$B$33,0)</f>
        <v>1200</v>
      </c>
      <c r="Q12" s="35">
        <f>IF(Q2&gt;=Assumptions!$B$34,Assumptions!$B$33,0)</f>
        <v>1200</v>
      </c>
      <c r="R12" s="35">
        <f>IF(R2&gt;=Assumptions!$B$34,Assumptions!$B$33,0)</f>
        <v>1200</v>
      </c>
      <c r="S12" s="35">
        <f>IF(S2&gt;=Assumptions!$B$34,Assumptions!$B$33,0)</f>
        <v>1200</v>
      </c>
    </row>
    <row r="13" spans="1:19" x14ac:dyDescent="0.25">
      <c r="A13" s="5" t="s">
        <v>172</v>
      </c>
      <c r="B13" s="35">
        <f>IF(B2=1,Assumptions!$B$37+Assumptions!$B$38+Assumptions!$B$39,0)+IF(B2=Assumptions!$B$41,Assumptions!$B$40,0)</f>
        <v>1499</v>
      </c>
      <c r="C13" s="35">
        <f>IF(C2=1,Assumptions!$B$37+Assumptions!$B$38+Assumptions!$B$39,0)+IF(C2=Assumptions!$B$41,Assumptions!$B$40,0)</f>
        <v>1500</v>
      </c>
      <c r="D13" s="35">
        <f>IF(D2=1,Assumptions!$B$37+Assumptions!$B$38+Assumptions!$B$39,0)+IF(D2=Assumptions!$B$41,Assumptions!$B$40,0)</f>
        <v>0</v>
      </c>
      <c r="E13" s="35">
        <f>IF(E2=1,Assumptions!$B$37+Assumptions!$B$38+Assumptions!$B$39,0)+IF(E2=Assumptions!$B$41,Assumptions!$B$40,0)</f>
        <v>0</v>
      </c>
      <c r="F13" s="35">
        <f>IF(F2=1,Assumptions!$B$37+Assumptions!$B$38+Assumptions!$B$39,0)+IF(F2=Assumptions!$B$41,Assumptions!$B$40,0)</f>
        <v>0</v>
      </c>
      <c r="G13" s="35">
        <f>IF(G2=1,Assumptions!$B$37+Assumptions!$B$38+Assumptions!$B$39,0)+IF(G2=Assumptions!$B$41,Assumptions!$B$40,0)</f>
        <v>0</v>
      </c>
      <c r="H13" s="35">
        <f>IF(H2=1,Assumptions!$B$37+Assumptions!$B$38+Assumptions!$B$39,0)+IF(H2=Assumptions!$B$41,Assumptions!$B$40,0)</f>
        <v>0</v>
      </c>
      <c r="I13" s="35">
        <f>IF(I2=1,Assumptions!$B$37+Assumptions!$B$38+Assumptions!$B$39,0)+IF(I2=Assumptions!$B$41,Assumptions!$B$40,0)</f>
        <v>0</v>
      </c>
      <c r="J13" s="35">
        <f>IF(J2=1,Assumptions!$B$37+Assumptions!$B$38+Assumptions!$B$39,0)+IF(J2=Assumptions!$B$41,Assumptions!$B$40,0)</f>
        <v>0</v>
      </c>
      <c r="K13" s="35">
        <f>IF(K2=1,Assumptions!$B$37+Assumptions!$B$38+Assumptions!$B$39,0)+IF(K2=Assumptions!$B$41,Assumptions!$B$40,0)</f>
        <v>0</v>
      </c>
      <c r="L13" s="35">
        <f>IF(L2=1,Assumptions!$B$37+Assumptions!$B$38+Assumptions!$B$39,0)+IF(L2=Assumptions!$B$41,Assumptions!$B$40,0)</f>
        <v>0</v>
      </c>
      <c r="M13" s="35">
        <f>IF(M2=1,Assumptions!$B$37+Assumptions!$B$38+Assumptions!$B$39,0)+IF(M2=Assumptions!$B$41,Assumptions!$B$40,0)</f>
        <v>0</v>
      </c>
      <c r="N13" s="35">
        <f>IF(N2=1,Assumptions!$B$37+Assumptions!$B$38+Assumptions!$B$39,0)+IF(N2=Assumptions!$B$41,Assumptions!$B$40,0)</f>
        <v>0</v>
      </c>
      <c r="O13" s="35">
        <f>IF(O2=1,Assumptions!$B$37+Assumptions!$B$38+Assumptions!$B$39,0)+IF(O2=Assumptions!$B$41,Assumptions!$B$40,0)</f>
        <v>0</v>
      </c>
      <c r="P13" s="35">
        <f>IF(P2=1,Assumptions!$B$37+Assumptions!$B$38+Assumptions!$B$39,0)+IF(P2=Assumptions!$B$41,Assumptions!$B$40,0)</f>
        <v>0</v>
      </c>
      <c r="Q13" s="35">
        <f>IF(Q2=1,Assumptions!$B$37+Assumptions!$B$38+Assumptions!$B$39,0)+IF(Q2=Assumptions!$B$41,Assumptions!$B$40,0)</f>
        <v>0</v>
      </c>
      <c r="R13" s="35">
        <f>IF(R2=1,Assumptions!$B$37+Assumptions!$B$38+Assumptions!$B$39,0)+IF(R2=Assumptions!$B$41,Assumptions!$B$40,0)</f>
        <v>0</v>
      </c>
      <c r="S13" s="35">
        <f>IF(S2=1,Assumptions!$B$37+Assumptions!$B$38+Assumptions!$B$39,0)+IF(S2=Assumptions!$B$41,Assumptions!$B$40,0)</f>
        <v>0</v>
      </c>
    </row>
    <row r="14" spans="1:19" x14ac:dyDescent="0.25">
      <c r="A14" s="38" t="s">
        <v>173</v>
      </c>
      <c r="B14" s="39">
        <f>SUM(B6:B13)</f>
        <v>8549</v>
      </c>
      <c r="C14" s="39">
        <f>SUM(C6:C13)</f>
        <v>8575.5</v>
      </c>
      <c r="D14" s="39">
        <f>SUM(D6:D13)</f>
        <v>7252.065</v>
      </c>
      <c r="E14" s="39">
        <f>SUM(E6:E13)</f>
        <v>7279.7419500000005</v>
      </c>
      <c r="F14" s="39">
        <f>SUM(F6:F13)</f>
        <v>7308.5799585</v>
      </c>
      <c r="G14" s="39">
        <f>SUM(G6:G13)</f>
        <v>7338.630394755</v>
      </c>
      <c r="H14" s="39">
        <f>SUM(H6:H13)</f>
        <v>7369.94699597265</v>
      </c>
      <c r="I14" s="39">
        <f>SUM(I6:I13)</f>
        <v>7402.585979695579</v>
      </c>
      <c r="J14" s="39">
        <f>SUM(J6:J13)</f>
        <v>8636.606161622385</v>
      </c>
      <c r="K14" s="39">
        <f>SUM(K6:K13)</f>
        <v>8672.069079133791</v>
      </c>
      <c r="L14" s="39">
        <f>SUM(L6:L13)</f>
        <v>8709.039120803674</v>
      </c>
      <c r="M14" s="39">
        <f>SUM(M6:M13)</f>
        <v>8747.58366218845</v>
      </c>
      <c r="N14" s="39">
        <f>SUM(N6:N13)</f>
        <v>8787.773208202801</v>
      </c>
      <c r="O14" s="39">
        <f>SUM(O6:O13)</f>
        <v>8829.681542405018</v>
      </c>
      <c r="P14" s="39">
        <f>SUM(P6:P13)</f>
        <v>8873.38588353111</v>
      </c>
      <c r="Q14" s="39">
        <f>SUM(Q6:Q13)</f>
        <v>8918.967049633678</v>
      </c>
      <c r="R14" s="39">
        <f>SUM(R6:R13)</f>
        <v>8966.509630199158</v>
      </c>
      <c r="S14" s="39">
        <f>SUM(S6:S13)</f>
        <v>9016.102166635425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FormatPr defaultRowHeight="15" outlineLevelRow="0" outlineLevelCol="0" x14ac:dyDescent="55"/>
  <cols>
    <col min="1" max="1" width="44" customWidth="1"/>
    <col min="2" max="2" width="11" customWidth="1"/>
    <col min="3" max="19" width="11" customWidth="1"/>
  </cols>
  <sheetData>
    <row r="1" spans="1:19" x14ac:dyDescent="0.25">
      <c r="A1" s="28" t="s">
        <v>174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3" t="s">
        <v>109</v>
      </c>
      <c r="B2" s="20">
        <v>1</v>
      </c>
      <c r="C2" s="29">
        <v>2</v>
      </c>
      <c r="D2" s="29">
        <v>3</v>
      </c>
      <c r="E2" s="29">
        <v>4</v>
      </c>
      <c r="F2" s="29">
        <v>5</v>
      </c>
      <c r="G2" s="29">
        <v>6</v>
      </c>
      <c r="H2" s="29">
        <v>7</v>
      </c>
      <c r="I2" s="29">
        <v>8</v>
      </c>
      <c r="J2" s="29">
        <v>9</v>
      </c>
      <c r="K2" s="29">
        <v>10</v>
      </c>
      <c r="L2" s="29">
        <v>11</v>
      </c>
      <c r="M2" s="29">
        <v>12</v>
      </c>
      <c r="N2" s="29">
        <v>13</v>
      </c>
      <c r="O2" s="29">
        <v>14</v>
      </c>
      <c r="P2" s="29">
        <v>15</v>
      </c>
      <c r="Q2" s="29">
        <v>16</v>
      </c>
      <c r="R2" s="29">
        <v>17</v>
      </c>
      <c r="S2" s="29">
        <v>18</v>
      </c>
    </row>
    <row r="3" spans="1:19" x14ac:dyDescent="0.25">
      <c r="A3" s="3" t="s">
        <v>110</v>
      </c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  <c r="G3" s="20" t="s">
        <v>116</v>
      </c>
      <c r="H3" s="20" t="s">
        <v>117</v>
      </c>
      <c r="I3" s="20" t="s">
        <v>118</v>
      </c>
      <c r="J3" s="20" t="s">
        <v>119</v>
      </c>
      <c r="K3" s="20" t="s">
        <v>120</v>
      </c>
      <c r="L3" s="20" t="s">
        <v>121</v>
      </c>
      <c r="M3" s="20" t="s">
        <v>122</v>
      </c>
      <c r="N3" s="20" t="s">
        <v>123</v>
      </c>
      <c r="O3" s="20" t="s">
        <v>124</v>
      </c>
      <c r="P3" s="20" t="s">
        <v>125</v>
      </c>
      <c r="Q3" s="20" t="s">
        <v>126</v>
      </c>
      <c r="R3" s="20" t="s">
        <v>127</v>
      </c>
      <c r="S3" s="20" t="s">
        <v>128</v>
      </c>
    </row>
    <row r="5" spans="1:19" x14ac:dyDescent="0.25">
      <c r="A5" s="3" t="s">
        <v>175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5" t="s">
        <v>150</v>
      </c>
      <c r="B6" s="43">
        <f>Revenue!B26</f>
        <v>0</v>
      </c>
      <c r="C6" s="41">
        <f>Revenue!C26</f>
        <v>0</v>
      </c>
      <c r="D6" s="41">
        <f>Revenue!D26</f>
        <v>9800</v>
      </c>
      <c r="E6" s="41">
        <f>Revenue!E26</f>
        <v>10399</v>
      </c>
      <c r="F6" s="41">
        <f>Revenue!F26</f>
        <v>19886.02</v>
      </c>
      <c r="G6" s="41">
        <f>Revenue!G26</f>
        <v>21060.2996</v>
      </c>
      <c r="H6" s="41">
        <f>Revenue!H26</f>
        <v>32011.093608</v>
      </c>
      <c r="I6" s="41">
        <f>Revenue!I26</f>
        <v>61737.87173584</v>
      </c>
      <c r="J6" s="41">
        <f>Revenue!J26</f>
        <v>77830.1143011232</v>
      </c>
      <c r="K6" s="41">
        <f>Revenue!K26</f>
        <v>80080.51201510074</v>
      </c>
      <c r="L6" s="41">
        <f>Revenue!L26</f>
        <v>82285.90177479872</v>
      </c>
      <c r="M6" s="41">
        <f>Revenue!M26</f>
        <v>84447.18373930274</v>
      </c>
      <c r="N6" s="41">
        <f>Revenue!N26</f>
        <v>86565.24006451669</v>
      </c>
      <c r="O6" s="41">
        <f>Revenue!O26</f>
        <v>88640.93526322636</v>
      </c>
      <c r="P6" s="41">
        <f>Revenue!P26</f>
        <v>113575.11655796182</v>
      </c>
      <c r="Q6" s="41">
        <f>Revenue!Q26</f>
        <v>116367.6142268026</v>
      </c>
      <c r="R6" s="41">
        <f>Revenue!R26</f>
        <v>119104.26194226654</v>
      </c>
      <c r="S6" s="41">
        <f>Revenue!S26</f>
        <v>121786.17670342121</v>
      </c>
    </row>
    <row r="7" spans="1:19" x14ac:dyDescent="0.25">
      <c r="A7" s="5" t="s">
        <v>176</v>
      </c>
      <c r="B7" s="43">
        <f>-'Cost of Sales'!B10</f>
        <v>0</v>
      </c>
      <c r="C7" s="41">
        <f>-'Cost of Sales'!C10</f>
        <v>0</v>
      </c>
      <c r="D7" s="41">
        <f>-'Cost of Sales'!D10</f>
        <v>-2935.1</v>
      </c>
      <c r="E7" s="41">
        <f>-'Cost of Sales'!E10</f>
        <v>-2987.771</v>
      </c>
      <c r="F7" s="41">
        <f>-'Cost of Sales'!F10</f>
        <v>-5873.088580000001</v>
      </c>
      <c r="G7" s="41">
        <f>-'Cost of Sales'!G10</f>
        <v>-5976.3448084</v>
      </c>
      <c r="H7" s="41">
        <f>-'Cost of Sales'!H10</f>
        <v>-9012.635912232001</v>
      </c>
      <c r="I7" s="41">
        <f>-'Cost of Sales'!I10</f>
        <v>-16976.474193987364</v>
      </c>
      <c r="J7" s="41">
        <f>-'Cost of Sales'!J10</f>
        <v>-21042.875710107615</v>
      </c>
      <c r="K7" s="41">
        <f>-'Cost of Sales'!K10</f>
        <v>-21205.869195905463</v>
      </c>
      <c r="L7" s="41">
        <f>-'Cost of Sales'!L10</f>
        <v>-21365.60281198735</v>
      </c>
      <c r="M7" s="41">
        <f>-'Cost of Sales'!M10</f>
        <v>-21522.1417557476</v>
      </c>
      <c r="N7" s="41">
        <f>-'Cost of Sales'!N10</f>
        <v>-21675.549920632653</v>
      </c>
      <c r="O7" s="41">
        <f>-'Cost of Sales'!O10</f>
        <v>-21825.889922219998</v>
      </c>
      <c r="P7" s="41">
        <f>-'Cost of Sales'!P10</f>
        <v>-28712.923123775596</v>
      </c>
      <c r="Q7" s="41">
        <f>-'Cost of Sales'!Q10</f>
        <v>-28915.780661300087</v>
      </c>
      <c r="R7" s="41">
        <f>-'Cost of Sales'!R10</f>
        <v>-29114.581048074084</v>
      </c>
      <c r="S7" s="41">
        <f>-'Cost of Sales'!S10</f>
        <v>-29309.405427112604</v>
      </c>
    </row>
    <row r="8" spans="1:19" x14ac:dyDescent="0.25">
      <c r="A8" s="31" t="s">
        <v>161</v>
      </c>
      <c r="B8" s="31">
        <f>B6+B7</f>
        <v>0</v>
      </c>
      <c r="C8" s="36">
        <f>C6+C7</f>
        <v>0</v>
      </c>
      <c r="D8" s="36">
        <f>D6+D7</f>
        <v>6864.9</v>
      </c>
      <c r="E8" s="36">
        <f>E6+E7</f>
        <v>7411.228999999999</v>
      </c>
      <c r="F8" s="36">
        <f>F6+F7</f>
        <v>14012.93142</v>
      </c>
      <c r="G8" s="36">
        <f>G6+G7</f>
        <v>15083.954791599997</v>
      </c>
      <c r="H8" s="36">
        <f>H6+H7</f>
        <v>22998.457695767996</v>
      </c>
      <c r="I8" s="36">
        <f>I6+I7</f>
        <v>44761.39754185264</v>
      </c>
      <c r="J8" s="36">
        <f>J6+J7</f>
        <v>56787.238591015586</v>
      </c>
      <c r="K8" s="36">
        <f>K6+K7</f>
        <v>58874.64281919528</v>
      </c>
      <c r="L8" s="36">
        <f>L6+L7</f>
        <v>60920.29896281137</v>
      </c>
      <c r="M8" s="36">
        <f>M6+M7</f>
        <v>62925.04198355514</v>
      </c>
      <c r="N8" s="36">
        <f>N6+N7</f>
        <v>64889.69014388404</v>
      </c>
      <c r="O8" s="36">
        <f>O6+O7</f>
        <v>66815.04534100636</v>
      </c>
      <c r="P8" s="36">
        <f>P6+P7</f>
        <v>84862.19343418622</v>
      </c>
      <c r="Q8" s="36">
        <f>Q6+Q7</f>
        <v>87451.83356550251</v>
      </c>
      <c r="R8" s="36">
        <f>R6+R7</f>
        <v>89989.68089419245</v>
      </c>
      <c r="S8" s="36">
        <f>S6+S7</f>
        <v>92476.7712763086</v>
      </c>
    </row>
    <row r="9" spans="1:19" x14ac:dyDescent="0.25">
      <c r="A9" s="5" t="s">
        <v>177</v>
      </c>
      <c r="B9" s="43">
        <f>-OpEx!B14</f>
        <v>-8549</v>
      </c>
      <c r="C9" s="41">
        <f>-OpEx!C14</f>
        <v>-8575.5</v>
      </c>
      <c r="D9" s="41">
        <f>-OpEx!D14</f>
        <v>-7252.065</v>
      </c>
      <c r="E9" s="41">
        <f>-OpEx!E14</f>
        <v>-7279.7419500000005</v>
      </c>
      <c r="F9" s="41">
        <f>-OpEx!F14</f>
        <v>-7308.5799585</v>
      </c>
      <c r="G9" s="41">
        <f>-OpEx!G14</f>
        <v>-7338.630394755</v>
      </c>
      <c r="H9" s="41">
        <f>-OpEx!H14</f>
        <v>-7369.94699597265</v>
      </c>
      <c r="I9" s="41">
        <f>-OpEx!I14</f>
        <v>-7402.585979695579</v>
      </c>
      <c r="J9" s="41">
        <f>-OpEx!J14</f>
        <v>-8636.606161622385</v>
      </c>
      <c r="K9" s="41">
        <f>-OpEx!K14</f>
        <v>-8672.069079133791</v>
      </c>
      <c r="L9" s="41">
        <f>-OpEx!L14</f>
        <v>-8709.039120803674</v>
      </c>
      <c r="M9" s="41">
        <f>-OpEx!M14</f>
        <v>-8747.58366218845</v>
      </c>
      <c r="N9" s="41">
        <f>-OpEx!N14</f>
        <v>-8787.773208202801</v>
      </c>
      <c r="O9" s="41">
        <f>-OpEx!O14</f>
        <v>-8829.681542405018</v>
      </c>
      <c r="P9" s="41">
        <f>-OpEx!P14</f>
        <v>-8873.38588353111</v>
      </c>
      <c r="Q9" s="41">
        <f>-OpEx!Q14</f>
        <v>-8918.967049633678</v>
      </c>
      <c r="R9" s="41">
        <f>-OpEx!R14</f>
        <v>-8966.509630199158</v>
      </c>
      <c r="S9" s="41">
        <f>-OpEx!S14</f>
        <v>-9016.102166635425</v>
      </c>
    </row>
    <row r="10" spans="1:19" x14ac:dyDescent="0.25">
      <c r="A10" s="38" t="s">
        <v>178</v>
      </c>
      <c r="B10" s="38">
        <f>B8+B9</f>
        <v>-8549</v>
      </c>
      <c r="C10" s="39">
        <f>C8+C9</f>
        <v>-8575.5</v>
      </c>
      <c r="D10" s="39">
        <f>D8+D9</f>
        <v>-387.16499999999996</v>
      </c>
      <c r="E10" s="39">
        <f>E8+E9</f>
        <v>131.48704999999882</v>
      </c>
      <c r="F10" s="39">
        <f>F8+F9</f>
        <v>6704.3514615</v>
      </c>
      <c r="G10" s="39">
        <f>G8+G9</f>
        <v>7745.324396844997</v>
      </c>
      <c r="H10" s="39">
        <f>H8+H9</f>
        <v>15628.510699795346</v>
      </c>
      <c r="I10" s="39">
        <f>I8+I9</f>
        <v>37358.81156215706</v>
      </c>
      <c r="J10" s="39">
        <f>J8+J9</f>
        <v>48150.6324293932</v>
      </c>
      <c r="K10" s="39">
        <f>K8+K9</f>
        <v>50202.57374006149</v>
      </c>
      <c r="L10" s="39">
        <f>L8+L9</f>
        <v>52211.2598420077</v>
      </c>
      <c r="M10" s="39">
        <f>M8+M9</f>
        <v>54177.458321366685</v>
      </c>
      <c r="N10" s="39">
        <f>N8+N9</f>
        <v>56101.91693568124</v>
      </c>
      <c r="O10" s="39">
        <f>O8+O9</f>
        <v>57985.36379860135</v>
      </c>
      <c r="P10" s="39">
        <f>P8+P9</f>
        <v>75988.80755065511</v>
      </c>
      <c r="Q10" s="39">
        <f>Q8+Q9</f>
        <v>78532.86651586884</v>
      </c>
      <c r="R10" s="39">
        <f>R8+R9</f>
        <v>81023.1712639933</v>
      </c>
      <c r="S10" s="39">
        <f>S8+S9</f>
        <v>83460.66910967318</v>
      </c>
    </row>
    <row r="11" spans="1:19" x14ac:dyDescent="0.25">
      <c r="A11" s="31" t="s">
        <v>179</v>
      </c>
      <c r="B11" s="31">
        <f>B10</f>
        <v>-8549</v>
      </c>
      <c r="C11" s="36">
        <f>B11+C10</f>
        <v>-17124.5</v>
      </c>
      <c r="D11" s="36">
        <f>C11+D10</f>
        <v>-17511.665</v>
      </c>
      <c r="E11" s="36">
        <f>D11+E10</f>
        <v>-17380.17795</v>
      </c>
      <c r="F11" s="36">
        <f>E11+F10</f>
        <v>-10675.8264885</v>
      </c>
      <c r="G11" s="36">
        <f>F11+G10</f>
        <v>-2930.502091655004</v>
      </c>
      <c r="H11" s="36">
        <f>G11+H10</f>
        <v>12698.008608140342</v>
      </c>
      <c r="I11" s="36">
        <f>H11+I10</f>
        <v>50056.820170297404</v>
      </c>
      <c r="J11" s="36">
        <f>I11+J10</f>
        <v>98207.4525996906</v>
      </c>
      <c r="K11" s="36">
        <f>J11+K10</f>
        <v>148410.02633975208</v>
      </c>
      <c r="L11" s="36">
        <f>K11+L10</f>
        <v>200621.2861817598</v>
      </c>
      <c r="M11" s="36">
        <f>L11+M10</f>
        <v>254798.74450312648</v>
      </c>
      <c r="N11" s="36">
        <f>M11+N10</f>
        <v>310900.6614388077</v>
      </c>
      <c r="O11" s="36">
        <f>N11+O10</f>
        <v>368886.02523740905</v>
      </c>
      <c r="P11" s="36">
        <f>O11+P10</f>
        <v>444874.83278806414</v>
      </c>
      <c r="Q11" s="36">
        <f>P11+Q10</f>
        <v>523407.69930393295</v>
      </c>
      <c r="R11" s="36">
        <f>Q11+R10</f>
        <v>604430.8705679262</v>
      </c>
      <c r="S11" s="36">
        <f>R11+S10</f>
        <v>687891.5396775994</v>
      </c>
    </row>
    <row r="17" spans="1:2" x14ac:dyDescent="0.25">
      <c r="A17" s="3" t="s">
        <v>180</v>
      </c>
      <c r="B17" s="4"/>
    </row>
    <row r="18" spans="1:2" x14ac:dyDescent="0.25">
      <c r="A18" s="5" t="s">
        <v>150</v>
      </c>
      <c r="B18" s="44">
        <f>SUM(B6:S6)</f>
        <v>1125577.3415323605</v>
      </c>
    </row>
    <row r="19" spans="1:2" x14ac:dyDescent="0.25">
      <c r="A19" s="5" t="s">
        <v>4</v>
      </c>
      <c r="B19" s="44">
        <f>SUM(B7:S7)*-1</f>
        <v>288452.0340714824</v>
      </c>
    </row>
    <row r="20" spans="1:2" x14ac:dyDescent="0.25">
      <c r="A20" s="5" t="s">
        <v>173</v>
      </c>
      <c r="B20" s="44">
        <f>SUM(B9:S9)*-1</f>
        <v>149233.76778327874</v>
      </c>
    </row>
    <row r="21" spans="1:2" x14ac:dyDescent="0.25">
      <c r="A21" s="31" t="s">
        <v>181</v>
      </c>
      <c r="B21" s="45">
        <f>SUM(B10:S10)</f>
        <v>687891.5396775994</v>
      </c>
    </row>
    <row r="22" spans="1:2" x14ac:dyDescent="0.25">
      <c r="A22" s="7" t="s">
        <v>182</v>
      </c>
      <c r="B22" s="46">
        <f>-MIN(B11:S11)</f>
        <v>17511.665</v>
      </c>
    </row>
    <row r="23" spans="1:2" x14ac:dyDescent="0.25">
      <c r="A23" s="5" t="s">
        <v>8</v>
      </c>
      <c r="B23" s="44">
        <f>MATCH(MIN(B11:S11),B11:S11,0)</f>
        <v>3</v>
      </c>
    </row>
    <row r="24" spans="1:2" x14ac:dyDescent="0.25">
      <c r="A24" s="5" t="s">
        <v>9</v>
      </c>
      <c r="B24" s="44">
        <f>MATCH(TRUE,INDEX(B10:S10&gt;0,0),0)</f>
        <v>4</v>
      </c>
    </row>
    <row r="25" spans="1:2" x14ac:dyDescent="0.25">
      <c r="A25" s="5" t="s">
        <v>10</v>
      </c>
      <c r="B25" s="44">
        <f>S11</f>
        <v>687891.5396775994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Revenue</vt:lpstr>
      <vt:lpstr>Cost of Sales</vt:lpstr>
      <vt:lpstr>OpEx</vt:lpstr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PhysicianLabs</dc:creator>
  <dc:title/>
  <dc:subject/>
  <dc:description/>
  <cp:keywords/>
  <cp:category/>
  <cp:lastModifiedBy>Unknown</cp:lastModifiedBy>
  <dcterms:created xsi:type="dcterms:W3CDTF">2026-06-30T00:00:00Z</dcterms:created>
  <dcterms:modified xsi:type="dcterms:W3CDTF">2026-06-30T23:05:17Z</dcterms:modified>
</cp:coreProperties>
</file>