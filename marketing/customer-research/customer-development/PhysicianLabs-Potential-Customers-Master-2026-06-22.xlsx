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Conversion Funnel" state="visible" r:id="rId5"/>
    <sheet sheetId="3" name="Interviews" state="visible" r:id="rId6"/>
    <sheet sheetId="4" name="Active Pipeline" state="visible" r:id="rId7"/>
    <sheet sheetId="5" name="All Prospects" state="visible" r:id="rId8"/>
  </sheets>
  <calcPr calcId="171027"/>
</workbook>
</file>

<file path=xl/sharedStrings.xml><?xml version="1.0" encoding="utf-8"?>
<sst xmlns="http://schemas.openxmlformats.org/spreadsheetml/2006/main" count="1349" uniqueCount="601">
  <si>
    <t>PhysicianLabs — Potential Customers Master Tracker</t>
  </si>
  <si>
    <t>Consolidated from 4 prospect lists + outreach pipeline + interview log · Generated 2026-06-22</t>
  </si>
  <si>
    <t>Customer Discovery Scorecard</t>
  </si>
  <si>
    <t>Question</t>
  </si>
  <si>
    <t>Status</t>
  </si>
  <si>
    <t>Detail</t>
  </si>
  <si>
    <t>Interviewed potential customers?</t>
  </si>
  <si>
    <t>YES</t>
  </si>
  <si>
    <t>5 unique physicians / 7 sessions</t>
  </si>
  <si>
    <t>Documented interviews from ≥10?</t>
  </si>
  <si>
    <t>NO</t>
  </si>
  <si>
    <t>Only 5 unique people interviewed (gap of 5)</t>
  </si>
  <si>
    <t>Know how they currently solve it?</t>
  </si>
  <si>
    <t>Accountants, FTEs, disliked EMRs — or not at all</t>
  </si>
  <si>
    <t>Researched competitors?</t>
  </si>
  <si>
    <t>9 named, full SWOT (competitive-swot-analysis.md)</t>
  </si>
  <si>
    <t>Completed ≥1 MVT?</t>
  </si>
  <si>
    <t>First MVT closed Jun 15 (paid-offer experiment)</t>
  </si>
  <si>
    <t>Learned / changed the idea?</t>
  </si>
  <si>
    <t>Validated pivot: ICP → just-launched; offer → $1K money-back PoC</t>
  </si>
  <si>
    <t>Potential Customers spreadsheet?</t>
  </si>
  <si>
    <t>This file — consolidates all prior fragmented lists</t>
  </si>
  <si>
    <t>Pipeline Counts (live)</t>
  </si>
  <si>
    <t>Total prospects logged</t>
  </si>
  <si>
    <t>Interviewed (people)</t>
  </si>
  <si>
    <t>Active pipeline entries (incl. on-ICP leads)</t>
  </si>
  <si>
    <t>Prospects not yet contacted</t>
  </si>
  <si>
    <t>Sheets</t>
  </si>
  <si>
    <t>Conversion Funnel</t>
  </si>
  <si>
    <t>Weekly outreach→interview funnel; surfaces the 0% cold/warm reply-rate leak</t>
  </si>
  <si>
    <t>Interviews</t>
  </si>
  <si>
    <t>5 documented interviews / 7 sessions, with key learnings &amp; WTP signals</t>
  </si>
  <si>
    <t>Active Pipeline</t>
  </si>
  <si>
    <t>Live deals (Jun 6) + 10 on-ICP transition leads reconciled in + dead/off-ICP</t>
  </si>
  <si>
    <t>All Prospects</t>
  </si>
  <si>
    <t>Every prospect from all 4 source lists, with status &amp; ICP score</t>
  </si>
  <si>
    <t>Outreach → Interview Conversion Funnel</t>
  </si>
  <si>
    <t>Tracks the leak between prospects logged and interviews booked. Update weekly. Target reply rate 30–50% (per recruitment tracker).</t>
  </si>
  <si>
    <t>Funnel Snapshot — as of 2026-06-22</t>
  </si>
  <si>
    <t>Stage</t>
  </si>
  <si>
    <t>Count</t>
  </si>
  <si>
    <t>Conv. %</t>
  </si>
  <si>
    <t>Notes</t>
  </si>
  <si>
    <t>Prospects logged</t>
  </si>
  <si>
    <t>—</t>
  </si>
  <si>
    <t>Across 4 source lists (see All Prospects tab)</t>
  </si>
  <si>
    <t>Contacted</t>
  </si>
  <si>
    <t>Only via Apr–May recruitment push (Reddit + LinkedIn); none since</t>
  </si>
  <si>
    <t>Replied</t>
  </si>
  <si>
    <t>THE LEAK — zero cold/warm outreach replies converted</t>
  </si>
  <si>
    <t>Discovery call (interview)</t>
  </si>
  <si>
    <t>All 5 via direct / family / operator — NOT from the 85 prospects</t>
  </si>
  <si>
    <t>Paid PoC</t>
  </si>
  <si>
    <t>Saf Malleck (family; card not yet charged)</t>
  </si>
  <si>
    <t>Weekly Tracking — update every Monday</t>
  </si>
  <si>
    <t>Week ending</t>
  </si>
  <si>
    <t xml:space="preserve">New
Contacted</t>
  </si>
  <si>
    <t xml:space="preserve">Cum.
Contacted</t>
  </si>
  <si>
    <t xml:space="preserve">New
Replies</t>
  </si>
  <si>
    <t xml:space="preserve">Cum.
Replies</t>
  </si>
  <si>
    <t xml:space="preserve">Disc.
Calls</t>
  </si>
  <si>
    <t xml:space="preserve">Paid
PoC</t>
  </si>
  <si>
    <t xml:space="preserve">Reply
Rate</t>
  </si>
  <si>
    <t>Jun 22 (baseline)</t>
  </si>
  <si>
    <t>Historical: 8 contacted via recruitment push; 5 interviews + 1 PoC came via direct channels</t>
  </si>
  <si>
    <t>Jun 29</t>
  </si>
  <si>
    <t/>
  </si>
  <si>
    <t>Jul 06</t>
  </si>
  <si>
    <t>Jul 13</t>
  </si>
  <si>
    <t>Jul 20</t>
  </si>
  <si>
    <t>Jul 27</t>
  </si>
  <si>
    <t>Aug 01 (goal)</t>
  </si>
  <si>
    <t>Goal: 10 paid + 5 DPAs active</t>
  </si>
  <si>
    <t>#</t>
  </si>
  <si>
    <t>Name</t>
  </si>
  <si>
    <t>Role / Specialty</t>
  </si>
  <si>
    <t>Location</t>
  </si>
  <si>
    <t>Sessions</t>
  </si>
  <si>
    <t>Date(s)</t>
  </si>
  <si>
    <t>ICP Fit</t>
  </si>
  <si>
    <t>Pipeline Status</t>
  </si>
  <si>
    <t>WTP Signal</t>
  </si>
  <si>
    <t>Key Learnings / Contribution</t>
  </si>
  <si>
    <t>Source Doc</t>
  </si>
  <si>
    <t>Saf Malleck, MD</t>
  </si>
  <si>
    <t>Orthopedic Surgeon</t>
  </si>
  <si>
    <t>Ontario, CA</t>
  </si>
  <si>
    <t>May 11 + Jun 1, 2026</t>
  </si>
  <si>
    <t>Strong</t>
  </si>
  <si>
    <t>Paid PoC — confirmed (first paid commitment)</t>
  </si>
  <si>
    <t>$1K prospective / $10K retrospective; "save $100K/yr"</t>
  </si>
  <si>
    <t>Just-launched physicians feel the pain (unprompted); secretary hiring is #1 setup pain (2,000–4,000 applicants); tax "nauseating"; financial taboo is cultural. First paid commitment in company history (family — weak external validity, card not yet charged).</t>
  </si>
  <si>
    <t>saf-malleck-interview-2.md; interview-saf-malleck-2026-05-11.md</t>
  </si>
  <si>
    <t>Samir Master, MD MBA</t>
  </si>
  <si>
    <t>Dermatologist</t>
  </si>
  <si>
    <t>Bellevue, WA</t>
  </si>
  <si>
    <t>May 28, 2026</t>
  </si>
  <si>
    <t>Strong (but competitor)</t>
  </si>
  <si>
    <t>Off-ICP — building competing product; treat as market validation / future partner</t>
  </si>
  <si>
    <t>Segment "exceedingly cheap"</t>
  </si>
  <si>
    <t>Independents reimbursed $115 vs $290 (hospital) for same Blue Cross visit; $200K/yr admin overhead; ModMed graded D- to C over 16 yrs; pre-launch distribution "structurally hard". Building "Rippling meets Compass for outpatient medicine" — PRD + 25 TDDs + 100 workflows, 1 dev.</t>
  </si>
  <si>
    <t>samir-master-interview.md</t>
  </si>
  <si>
    <t>Shaun Cowan, MD</t>
  </si>
  <si>
    <t>Surgeon / ICU</t>
  </si>
  <si>
    <t>Alberta, CA</t>
  </si>
  <si>
    <t>May 8, 2026</t>
  </si>
  <si>
    <t>Partial (secondary ICP)</t>
  </si>
  <si>
    <t>Discovery done — stalled; re-engage Jun 14</t>
  </si>
  <si>
    <t>"$799 feels slightly high"</t>
  </si>
  <si>
    <t>Multi-income-stream P&amp;L blindness; price resistance at subscription point validates PoC/ROI framing over flat subscription.</t>
  </si>
  <si>
    <t>shaun-cowan-interview.md</t>
  </si>
  <si>
    <t>Hannan Qureshi, MD</t>
  </si>
  <si>
    <t>ENT</t>
  </si>
  <si>
    <t>Atlanta, GA</t>
  </si>
  <si>
    <t>Apr 26, 2026</t>
  </si>
  <si>
    <t>Partial — now Dead/off-ICP</t>
  </si>
  <si>
    <t>Dead — network is employed MDs, no independent contacts</t>
  </si>
  <si>
    <t>Patient acquisition channels; PE squeeze dynamics. Confirmed setup-information vacuum but no independent network to refer.</t>
  </si>
  <si>
    <t>interview-hannan-qureshi-2026-04-26.md</t>
  </si>
  <si>
    <t>Sameer Gafoor, MD</t>
  </si>
  <si>
    <t>Interventional Cardiology</t>
  </si>
  <si>
    <t>Seattle, WA</t>
  </si>
  <si>
    <t>May 12, 2026</t>
  </si>
  <si>
    <t>Counter-persona</t>
  </si>
  <si>
    <t>Dead — concierge/employed, off-ICP</t>
  </si>
  <si>
    <t>Recommended concierge medicine as the sharpest ICP (unprompted, single-source). Useful counter-persona signal.</t>
  </si>
  <si>
    <t>interview-sameer-gafoor-2026-05-12.md</t>
  </si>
  <si>
    <t>Active Pipeline — from outreach-tracker.md (last updated Jun 6, 2026)</t>
  </si>
  <si>
    <t>Stages: Lead → Contacted → Discovery Call → Demo/PoC Offer → Paid PoC → DPA Signed → Paid Sub → Dead   ·   Goal: 5 Design Partners + 10 Paid by Aug 1, 2026</t>
  </si>
  <si>
    <t>Clinic / Specialty</t>
  </si>
  <si>
    <t>Source</t>
  </si>
  <si>
    <t>Last Touch</t>
  </si>
  <si>
    <t>Next Action</t>
  </si>
  <si>
    <t>Due</t>
  </si>
  <si>
    <t>1</t>
  </si>
  <si>
    <t>Ortho, Ontario</t>
  </si>
  <si>
    <t>Direct</t>
  </si>
  <si>
    <t>Paid PoC — confirmed</t>
  </si>
  <si>
    <t>Jun 6</t>
  </si>
  <si>
    <t>Book 90-min session</t>
  </si>
  <si>
    <t>Jun 13</t>
  </si>
  <si>
    <t>2</t>
  </si>
  <si>
    <t>Matthew Tucci, MD</t>
  </si>
  <si>
    <t>Solo Ortho, Oshawa</t>
  </si>
  <si>
    <t>Saf intro (pending)</t>
  </si>
  <si>
    <t>Intro requested</t>
  </si>
  <si>
    <t>Send first message once intro lands</t>
  </si>
  <si>
    <t>Jun 8</t>
  </si>
  <si>
    <t>3</t>
  </si>
  <si>
    <t>Linda Xin, MD</t>
  </si>
  <si>
    <t>Rejuvenation Derm, Oakville</t>
  </si>
  <si>
    <t>4</t>
  </si>
  <si>
    <t>Surgeon/ICU, Alberta</t>
  </si>
  <si>
    <t>Discovery done — stalled</t>
  </si>
  <si>
    <t>May 31</t>
  </si>
  <si>
    <t>Re-engage with prototype</t>
  </si>
  <si>
    <t>Jun 14</t>
  </si>
  <si>
    <t>5</t>
  </si>
  <si>
    <t>Dr. Phan/Vu</t>
  </si>
  <si>
    <t>Med Finance, Toronto</t>
  </si>
  <si>
    <t>Saf (email pending)</t>
  </si>
  <si>
    <t>Lead</t>
  </si>
  <si>
    <t>Confirm email received from Saf</t>
  </si>
  <si>
    <t>Jun 10</t>
  </si>
  <si>
    <t>6</t>
  </si>
  <si>
    <t>PT in Saf's building</t>
  </si>
  <si>
    <t>Allied Health, Ontario</t>
  </si>
  <si>
    <t>Saf referral</t>
  </si>
  <si>
    <t>Ask Saf for intro (lower priority)</t>
  </si>
  <si>
    <t>Jun 20</t>
  </si>
  <si>
    <t>7</t>
  </si>
  <si>
    <t>u/Snapcracklepayme</t>
  </si>
  <si>
    <t>Reddit / Chiro</t>
  </si>
  <si>
    <t>Reddit DM</t>
  </si>
  <si>
    <t>3rd touch sent</t>
  </si>
  <si>
    <t>Jun 1</t>
  </si>
  <si>
    <t>Follow up with paid offer</t>
  </si>
  <si>
    <t>8</t>
  </si>
  <si>
    <t>u/crossfit6</t>
  </si>
  <si>
    <t>9</t>
  </si>
  <si>
    <t>Pro Alliance admin</t>
  </si>
  <si>
    <t>IPA, Pacific NW</t>
  </si>
  <si>
    <t>Samir Master</t>
  </si>
  <si>
    <t>Table until Week 5</t>
  </si>
  <si>
    <t>Jun 30</t>
  </si>
  <si>
    <t>10</t>
  </si>
  <si>
    <t>WWMG admin</t>
  </si>
  <si>
    <t>On-ICP Transition Leads — Jun 01 discovery (reconciled into pipeline · to be worked)</t>
  </si>
  <si>
    <t>u/AHaydenL</t>
  </si>
  <si>
    <t>Physician (MA/NH) — multi-hospital locums + employed</t>
  </si>
  <si>
    <t>Reddit · Jun 01 discovery</t>
  </si>
  <si>
    <t>Lead — On-ICP</t>
  </si>
  <si>
    <t>Send first Mom Test DM (no pitch)</t>
  </si>
  <si>
    <t>u/Alterdoc</t>
  </si>
  <si>
    <t>Attending physician — hospital-employed + planning DPC launch</t>
  </si>
  <si>
    <t>u/SSRIplease</t>
  </si>
  <si>
    <t>Physician — leaving corporate employed position; planning DPC</t>
  </si>
  <si>
    <t>u/Ok_Respect4534</t>
  </si>
  <si>
    <t>Family Medicine MD — federal employer — burned out</t>
  </si>
  <si>
    <t>u/jrpg8255</t>
  </si>
  <si>
    <t>Former Banner Health physician — now independent (implied)</t>
  </si>
  <si>
    <t>u/Trying-sanity</t>
  </si>
  <si>
    <t>Primary care physician — DPC-aware — anti-corporate</t>
  </si>
  <si>
    <t>u/Farnk20</t>
  </si>
  <si>
    <t>Internal Medicine — private practice owner 5 years — $350K</t>
  </si>
  <si>
    <t>u/Gorfang</t>
  </si>
  <si>
    <t>Physician — independent practice owner — references concierge conversion</t>
  </si>
  <si>
    <t>u/CactusSkies</t>
  </si>
  <si>
    <t>Physician — recommending concierge model — own concierge practice likely</t>
  </si>
  <si>
    <t>u/gamergeek987</t>
  </si>
  <si>
    <t>Specialist physician — knows concierge physician network</t>
  </si>
  <si>
    <t>Dead / Off-ICP</t>
  </si>
  <si>
    <t>Reason</t>
  </si>
  <si>
    <t>Date</t>
  </si>
  <si>
    <t>Network is employed MDs — no independent contacts</t>
  </si>
  <si>
    <t>Concierge/employed — off-ICP; also building competing product (Samir Master)</t>
  </si>
  <si>
    <t>May 28</t>
  </si>
  <si>
    <t>Platform</t>
  </si>
  <si>
    <t>Segment</t>
  </si>
  <si>
    <t>Practice</t>
  </si>
  <si>
    <t>Score</t>
  </si>
  <si>
    <t>Source List</t>
  </si>
  <si>
    <t>Pain Quote</t>
  </si>
  <si>
    <t>Profile URL</t>
  </si>
  <si>
    <t>Post URL</t>
  </si>
  <si>
    <t>Shaka Hatcher</t>
  </si>
  <si>
    <t>LinkedIn</t>
  </si>
  <si>
    <t>Chiropractor</t>
  </si>
  <si>
    <t>New Leaf Chiropractic &amp; Wellness Clinic</t>
  </si>
  <si>
    <t>Seattle WA</t>
  </si>
  <si>
    <t>Not contacted</t>
  </si>
  <si>
    <t>Apr 27 — Seattle chiro/derm</t>
  </si>
  <si>
    <t>https://www.linkedin.com/in/shaka-hatcher-03224b122/</t>
  </si>
  <si>
    <t>Practice owner in Seattle. Direct outreach priority — design partner candidate.</t>
  </si>
  <si>
    <t>Michael Li</t>
  </si>
  <si>
    <t>Mobility Plus Sports Rehab</t>
  </si>
  <si>
    <t>https://www.linkedin.com/in/michael-li-06182717/</t>
  </si>
  <si>
    <t>Owner-operator in Seattle. Design partner candidate.</t>
  </si>
  <si>
    <t>Reddit</t>
  </si>
  <si>
    <t>Independent Chiropractic Practice</t>
  </si>
  <si>
    <t>Unknown</t>
  </si>
  <si>
    <t>PVA... Why Cases Fall Apart Before They Should — 'How many visits does a patient complete over the life of their case in your office?'</t>
  </si>
  <si>
    <t>https://www.reddit.com/user/Snapcracklepayme/</t>
  </si>
  <si>
    <t>https://www.reddit.com/r/Chiropractic/comments/1s8cptk/pva_why_cases_fall_apart_before_they_should_and/</t>
  </si>
  <si>
    <t>Writing a 5-part public series on chiropractic practice metrics. Extremely business-minded DC and active practice owner. Lighthouse prospect.</t>
  </si>
  <si>
    <t>At this point I am wondering if a simple system exists?? Every sales person oversells me and then apologizes after I sign.</t>
  </si>
  <si>
    <t>https://www.reddit.com/user/crossfit6/</t>
  </si>
  <si>
    <t>https://www.reddit.com/r/Chiropractic/comments/1s2h9zj/chirospring_vs_chirocat/</t>
  </si>
  <si>
    <t>Extreme frustration with EHR software after multiple failed onboardings. Classic wedge prospect — software pain is acute. Lighthouse prospect.</t>
  </si>
  <si>
    <t>u/chakratones</t>
  </si>
  <si>
    <t>Independent Dermatology Practice</t>
  </si>
  <si>
    <t>The prior authorization process is absolutely brutal and it's taking over our practice... We're spending probably 15-20 hours per week just on biologic prior auths.</t>
  </si>
  <si>
    <t>https://www.reddit.com/user/chakratones/</t>
  </si>
  <si>
    <t>https://www.reddit.com/r/Dermatology/comments/1r854jx/prior_authorizations_for_biologics_are_consuming/</t>
  </si>
  <si>
    <t>Private practice derm drowning in prior auth burden for biologics. Highly articulate pain expression. Lighthouse prospect.</t>
  </si>
  <si>
    <t>Heather D. Rogers MD</t>
  </si>
  <si>
    <t>Doctor Rogers Skin Care, Modern Dermatology</t>
  </si>
  <si>
    <t>https://www.linkedin.com/search/results/people/?keywords=Heather+Rogers+dermatologist+seattle</t>
  </si>
  <si>
    <t>https://www.linkedin.com/in/heather-rogers/</t>
  </si>
  <si>
    <t>Founder of two Seattle practices. Prolific content creator and national media expert. High-profile design partner candidate. Confirm LinkedIn URL before outreach.</t>
  </si>
  <si>
    <t>Samir Master MD</t>
  </si>
  <si>
    <t>Dermatology Arts</t>
  </si>
  <si>
    <t>Greater Seattle Area</t>
  </si>
  <si>
    <t>https://www.linkedin.com/in/samirmaster/</t>
  </si>
  <si>
    <t>Founder and venture-aware dermatologist. MultiPOD background — likely receptive to innovation conversation.</t>
  </si>
  <si>
    <t>Elie Levy</t>
  </si>
  <si>
    <t>Aesthetic and General Dermatology of Seattle</t>
  </si>
  <si>
    <t>https://www.linkedin.com/in/elielevymd/</t>
  </si>
  <si>
    <t>Runs own aesthetic + general derm practice. 2nd-degree connection — warm outreach possible.</t>
  </si>
  <si>
    <t>u/stevesmith7878</t>
  </si>
  <si>
    <t>A major problem with the software vendors is that they expect you to sign up for one of the most important decisions you make as an owner… in a 30 minute demo. You should be able to try it out, submit some claims, see how it really works. I'm on my 5th.</t>
  </si>
  <si>
    <t>https://www.reddit.com/user/stevesmith7878/</t>
  </si>
  <si>
    <t>On 5th EHR — deeply frustrated with software vendor process. Clear pain around practice management software.</t>
  </si>
  <si>
    <t>u/dermpharm</t>
  </si>
  <si>
    <t>Roughly how much time do you (or your staff) spend each week dealing with medication prior auths and appeals — especially for topicals, biologics, JAK inhibitors?</t>
  </si>
  <si>
    <t>https://www.reddit.com/user/dermpharm/</t>
  </si>
  <si>
    <t>https://www.reddit.com/r/Dermatology/comments/1qgzey0/prior_authorization_appeals_peer_2_peer_support/</t>
  </si>
  <si>
    <t>Actively researching PA workflow solutions. Conducted a poll of other dermatologists on this pain — community aware and solution-seeking.</t>
  </si>
  <si>
    <t>u/Dermdoccy</t>
  </si>
  <si>
    <t>Private Practice Dermatology</t>
  </si>
  <si>
    <t>I feel like we may have to reach the point where we put this work back on the patient... it's not going to get better until there is enough of an outcry to enact legislation to change it.</t>
  </si>
  <si>
    <t>https://www.reddit.com/user/Dermdoccy/</t>
  </si>
  <si>
    <t>Private practice derm expressing systemic frustration with PA burden. Has a dedicated MA accumulating years of PA knowledge — workaround evidence of acute pain.</t>
  </si>
  <si>
    <t>u/cicjak</t>
  </si>
  <si>
    <t>Small Private Practice</t>
  </si>
  <si>
    <t>If you're high volume biologics, you need a dedicated MA for your practice who does only that - a biologic coordinator. It increases overhead but necessary.</t>
  </si>
  <si>
    <t>https://www.reddit.com/user/cicjak/</t>
  </si>
  <si>
    <t>Small private practice derm who has internalized cost of the PA problem (dedicated FTE). Also uses EMA (ModMed) and has clear opinions on EHR — vocal, engaged community member.</t>
  </si>
  <si>
    <t>Miles Mitchell DC</t>
  </si>
  <si>
    <t>Tukwila Family Chiropractic</t>
  </si>
  <si>
    <t>https://www.linkedin.com/in/miles-mitchell-dc-3093b856/</t>
  </si>
  <si>
    <t>Title is 'The Doer of All' — classic solo owner wearing every hat. High relevance for admin burden pain. Seattle-area design partner candidate.</t>
  </si>
  <si>
    <t>S. Max Vale MD FAAD</t>
  </si>
  <si>
    <t>Kirkland Dermatology Associates PLLC</t>
  </si>
  <si>
    <t>https://www.linkedin.com/in/s-max-vale-md-faad-265a7135/</t>
  </si>
  <si>
    <t>PLLC = independent practice. Board-certified FAAD. Kirkland is a Seattle suburb. Design partner candidate.</t>
  </si>
  <si>
    <t>u/jennybear0222</t>
  </si>
  <si>
    <t>I feel like I'm leaving opportunity on the table... 'Handcuffed feels about right. I'm nervous. Leaving a fairly secure position right now feels like a step backward.'</t>
  </si>
  <si>
    <t>https://www.reddit.com/user/jennybear0222/</t>
  </si>
  <si>
    <t>https://www.reddit.com/r/Chiropractic/comments/1ssvsk2/ic_to_business_owner_advice/</t>
  </si>
  <si>
    <t>DC in transition to owning practice. Decision moment = ideal timing for outreach about practice management tools. Grossing $10-13K/month.</t>
  </si>
  <si>
    <t>u/AdmirableAd1031</t>
  </si>
  <si>
    <t>I've had my own practice since 2012 and I have learned marketing from someone who was grossing a million dollars a year.</t>
  </si>
  <si>
    <t>https://www.reddit.com/user/AdmirableAd1031/</t>
  </si>
  <si>
    <t>https://www.reddit.com/r/Chiropractic/comments/1ryjxuv/new_patients_the_trap_the_truth_and_how_to/</t>
  </si>
  <si>
    <t>14+ year practice owner. Active in business operations discussion. Focused on patient acquisition and marketing systems.</t>
  </si>
  <si>
    <t>u/Chaoss780</t>
  </si>
  <si>
    <t>Another great post. You nailed it with the Google reviews section. That's my #2 driver of new patients (with internal referrals being #1).</t>
  </si>
  <si>
    <t>https://www.reddit.com/user/Chaoss780/</t>
  </si>
  <si>
    <t>Practice owner discussing patient acquisition systems — referrals and reviews. Engaged with business fundamentals.</t>
  </si>
  <si>
    <t>u/Astaroth1993</t>
  </si>
  <si>
    <t>Would you mind sharing what this financial responsibility template looks like? — asking about tools for managing patient retention and treatment plan adherence.</t>
  </si>
  <si>
    <t>https://www.reddit.com/user/Astaroth1993/</t>
  </si>
  <si>
    <t>Actively seeking tools to reduce patient drop-off and improve treatment plan follow-through. Engaged in retention-specific conversation.</t>
  </si>
  <si>
    <t>u/Mr_Gray</t>
  </si>
  <si>
    <t>There's a few out there with large promises that are often under-delivered. Tandem access is the latest AI driven BS that we gave a chance and are ramping down any use.</t>
  </si>
  <si>
    <t>https://www.reddit.com/user/Mr_Gray/</t>
  </si>
  <si>
    <t>https://www.reddit.com/r/Dermatology/comments/1ow6k0g/ai_ehr_for_dermatologists_curious_thoughts/</t>
  </si>
  <si>
    <t>Has tried multiple AI solutions, has very clear opinions on what works. Uses ModMed (EMA). Critical but engaged with the problem space — high-value interview subject.</t>
  </si>
  <si>
    <t>Jigar Patel</t>
  </si>
  <si>
    <t>North Pacific Dermatology</t>
  </si>
  <si>
    <t>https://www.linkedin.com/in/jigar-patel-97868b268/</t>
  </si>
  <si>
    <t>Mohs surgeon — high procedure volume practice. Likely heavy prior auth burden for complex cases.</t>
  </si>
  <si>
    <t>Joshua Penner DC</t>
  </si>
  <si>
    <t>Independent Chiropractic</t>
  </si>
  <si>
    <t>https://www.linkedin.com/in/joshua-penner-d-c-5410092b9/</t>
  </si>
  <si>
    <t>Own practice branding (Puget Sound's Injury and Pain Relief Chiropractor) suggests independent practice.</t>
  </si>
  <si>
    <t>Jaime Garcia</t>
  </si>
  <si>
    <t>Virtus Sport and Extremity</t>
  </si>
  <si>
    <t>https://www.linkedin.com/in/jaime-garcia-039209149/</t>
  </si>
  <si>
    <t>Sports and extremity focus — likely mixed cash/insurance model. Seattle-area practitioner.</t>
  </si>
  <si>
    <t>Nathan Moore</t>
  </si>
  <si>
    <t>Elite Sports and Spine</t>
  </si>
  <si>
    <t>https://www.linkedin.com/in/nathan-moore-580111108/</t>
  </si>
  <si>
    <t>Sports-focused clinic — similar patient mix to target persona.</t>
  </si>
  <si>
    <t>Van Pham</t>
  </si>
  <si>
    <t>https://www.linkedin.com/in/drvanpham/</t>
  </si>
  <si>
    <t>Specialty focus and advocate positioning suggests independent practice mindset.</t>
  </si>
  <si>
    <t>Carolyn Fancher DC</t>
  </si>
  <si>
    <t>West Seattle Neighborhood Chiropractic</t>
  </si>
  <si>
    <t>https://www.linkedin.com/in/carolyn-fancher-d-c-15b3b19/</t>
  </si>
  <si>
    <t>Neighborhood practice — small independent clinic. Seattle.</t>
  </si>
  <si>
    <t>Andre Garay</t>
  </si>
  <si>
    <t>Kaufman Chiropractic Clinic</t>
  </si>
  <si>
    <t>https://www.linkedin.com/in/andre-garay-b3a435153/</t>
  </si>
  <si>
    <t>Motor vehicle and sports injury focus — likely insurance billing heavy.</t>
  </si>
  <si>
    <t>Brenda Newman</t>
  </si>
  <si>
    <t>THE DERMATOLOGY CLINIC</t>
  </si>
  <si>
    <t>https://www.linkedin.com/in/brenda-newman-895a551a0/</t>
  </si>
  <si>
    <t>Private clinic (all-caps branding suggests independent). Greater Seattle.</t>
  </si>
  <si>
    <t>Dr. Steven Greene</t>
  </si>
  <si>
    <t>Advanced Dermatology and Laser Institute of Seattle</t>
  </si>
  <si>
    <t>https://www.linkedin.com/in/dr-steven-greene/</t>
  </si>
  <si>
    <t>Laser + dermatology = aesthetic + medical mix. Likely cash + insurance billing complexity.</t>
  </si>
  <si>
    <t>u/Kharm13</t>
  </si>
  <si>
    <t>Most chiro offices are a physical injury to the chiro away from having some 'oh shit' concerns. If you're already on paper thin margins because your expenses are overboard it'll be rough.</t>
  </si>
  <si>
    <t>https://www.reddit.com/user/Kharm13/</t>
  </si>
  <si>
    <t>Business-minded practice owner with clear awareness of margin pressure. Useful for messaging validation.</t>
  </si>
  <si>
    <t>u/ManipulateYa</t>
  </si>
  <si>
    <t>Stay lean... meaning buy used equipment go with limited staffing... keep your costs low.</t>
  </si>
  <si>
    <t>https://www.reddit.com/user/ManipulateYa/</t>
  </si>
  <si>
    <t>Practice owner giving lean startup advice. Cost-conscious mentality — would respond to ROI-driven messaging.</t>
  </si>
  <si>
    <t>u/AK-Master-07</t>
  </si>
  <si>
    <t>Everything I read from your comment makes it sound like you are in handcuffs. Take those handcuffs off and your practice will explode. Being available is crucial for practice building.</t>
  </si>
  <si>
    <t>https://www.reddit.com/user/AK-Master-07/</t>
  </si>
  <si>
    <t>Experienced owner mentoring others — likely open to discussing practice management challenges.</t>
  </si>
  <si>
    <t>u/barofsoap-69</t>
  </si>
  <si>
    <t>The way I get patients to write Google reviews: 'How have I been able to help you so far?' — let them tell me in their own words.</t>
  </si>
  <si>
    <t>https://www.reddit.com/user/barofsoap-69/</t>
  </si>
  <si>
    <t>Focused on patient acquisition and relationship management. Operationally thoughtful DC.</t>
  </si>
  <si>
    <t>u/Standardchiropractor</t>
  </si>
  <si>
    <t>It's all about the systems! Students waste so much time not practicing these fundamentals while they are still in school.</t>
  </si>
  <si>
    <t>https://www.reddit.com/user/Standardchiropractor/</t>
  </si>
  <si>
    <t>Systems-and-process focused DC. Engaged with practice management fundamentals — good candidate for interview on operational pain.</t>
  </si>
  <si>
    <t>u/Lucked0ut</t>
  </si>
  <si>
    <t>Independent Cash Practice</t>
  </si>
  <si>
    <t>I switched to chiro cat at the beginning of the year. I don't use the insurance billing because I'm a cash clinic.</t>
  </si>
  <si>
    <t>https://www.reddit.com/user/Lucked0ut/</t>
  </si>
  <si>
    <t>Cash-only practice — different billing pain profile but relevant for patient retention and scheduling tools.</t>
  </si>
  <si>
    <t>u/supadude54</t>
  </si>
  <si>
    <t>Yes it is feasible. You can run a clinic in many different ways. Some people do very part time and are essentially locums throughout the year.</t>
  </si>
  <si>
    <t>https://www.reddit.com/user/supadude54/</t>
  </si>
  <si>
    <t>https://www.reddit.com/r/Dermatology/comments/1ruhrj1/is_it_feasible_for_dermatologists_in_private/</t>
  </si>
  <si>
    <t>Private practice derm giving advice on practice structure — engaged in operational discussions.</t>
  </si>
  <si>
    <t>u/Saikia_08</t>
  </si>
  <si>
    <t>It could be feasible after reaching a certain amount in savings. Could take me a decade or so to reach that point though.</t>
  </si>
  <si>
    <t>https://www.reddit.com/user/Saikia_08/</t>
  </si>
  <si>
    <t>Younger private practice derm — aware of financial constraints of ownership. Relatable target for income optimization messaging.</t>
  </si>
  <si>
    <t>u/Feeling-Ability-4306</t>
  </si>
  <si>
    <t>This series you're doing is the best content I've seen on this sub. It's giving me a clear picture of what I should focus on when I start my practice.</t>
  </si>
  <si>
    <t>https://www.reddit.com/user/Feeling-Ability-4306/</t>
  </si>
  <si>
    <t>Pre-owner DC actively learning practice management. Reach out when they are starting their practice.</t>
  </si>
  <si>
    <t>Christopher Henderson</t>
  </si>
  <si>
    <t>Hospital System</t>
  </si>
  <si>
    <t>https://www.linkedin.com/in/christopher-henderson-2465734/</t>
  </si>
  <si>
    <t>Teledermatology lead — not independent practice. Lower priority for design partner. May be useful for market context interview.</t>
  </si>
  <si>
    <t>James Ryan DC</t>
  </si>
  <si>
    <t>Independent Examiner</t>
  </si>
  <si>
    <t>https://www.linkedin.com/in/james-ryan-dc-6794b28/</t>
  </si>
  <si>
    <t>DC with data analytics background — interesting perspective but not primary practice owner target.</t>
  </si>
  <si>
    <t>John Zhang</t>
  </si>
  <si>
    <t>Frontier Dermatology</t>
  </si>
  <si>
    <t>https://www.linkedin.com/in/john-zhang-7620ba41/</t>
  </si>
  <si>
    <t>Dermatopathologist — lab role not clinical practice. Lower fit for patient retention or billing wedge. May refer to clinical partners.</t>
  </si>
  <si>
    <t>Patrick Toy DPT</t>
  </si>
  <si>
    <t>PhysicalTherapist</t>
  </si>
  <si>
    <t>Physical Therapy Dynamix PLLC</t>
  </si>
  <si>
    <t>May 04 — PT pivot pipeline</t>
  </si>
  <si>
    <t>https://www.linkedin.com/in/patrick-toy-ptthept/</t>
  </si>
  <si>
    <t>PIPELINE ONLY - PostURL missing. Founder of independent PLLC in Seattle. Browser pass needed to find pain-signal post.</t>
  </si>
  <si>
    <t>Bryan Simpson</t>
  </si>
  <si>
    <t>Olympic Sports Rehab</t>
  </si>
  <si>
    <t>https://www.linkedin.com/in/bryan-simpson-568738b5/</t>
  </si>
  <si>
    <t>PIPELINE ONLY - PostURL missing. Title explicitly Private Practice Owner. Browser pass needed.</t>
  </si>
  <si>
    <t>Bruk Ballenger</t>
  </si>
  <si>
    <t>Prevail Physical Therapy</t>
  </si>
  <si>
    <t>https://www.linkedin.com/in/bruk-ballenger-7aa3a914a/</t>
  </si>
  <si>
    <t>PIPELINE ONLY - PostURL missing. Founder of two PT practices. Mentor to other PTs. Browser pass needed.</t>
  </si>
  <si>
    <t>Jennifer Aglubat</t>
  </si>
  <si>
    <t>Seattle Sport Physical Therapy</t>
  </si>
  <si>
    <t>https://www.linkedin.com/in/jennifer-aglubat-8856541b/</t>
  </si>
  <si>
    <t>PIPELINE ONLY - PostURL missing. Principal Owner in Seattle. Browser pass needed.</t>
  </si>
  <si>
    <t>Dr. Orit Hickman PT DPT</t>
  </si>
  <si>
    <t>Pain Science Physical Therapy</t>
  </si>
  <si>
    <t>https://www.linkedin.com/in/dr-orit-hickman-pt-dpt-tps-1a096117/</t>
  </si>
  <si>
    <t>PIPELINE ONLY - PostURL missing. Pain science specialty independent practice. Browser pass needed.</t>
  </si>
  <si>
    <t>Karen Seeley</t>
  </si>
  <si>
    <t>Karen Seeley Physical Therapy</t>
  </si>
  <si>
    <t>https://www.linkedin.com/in/karen-seeley-66354b55/</t>
  </si>
  <si>
    <t>PIPELINE ONLY - PostURL missing. Solo owner-operator in Seattle. Browser pass needed.</t>
  </si>
  <si>
    <t>Karen Morgan PT DPT</t>
  </si>
  <si>
    <t>Karen Morgan Physical Therapy</t>
  </si>
  <si>
    <t>https://www.linkedin.com/in/karen-morgan-pt-dpt-27a32a113/</t>
  </si>
  <si>
    <t>PIPELINE ONLY - PostURL missing. 30+ years small PNW practice. Browser pass needed.</t>
  </si>
  <si>
    <t>Jennifer Prewitt</t>
  </si>
  <si>
    <t>Premier Physical Therapy Inc</t>
  </si>
  <si>
    <t>https://www.linkedin.com/in/jenniferprewitt/</t>
  </si>
  <si>
    <t>PIPELINE ONLY - PostURL missing. Owner-operator Greater Seattle. Browser pass needed.</t>
  </si>
  <si>
    <t>David Cullinane</t>
  </si>
  <si>
    <t>Westgate Orthopaedic Physical Therapy &amp; Exercise</t>
  </si>
  <si>
    <t>https://www.linkedin.com/in/david-cullinane-17192212/</t>
  </si>
  <si>
    <t>PIPELINE ONLY - PostURL missing. Orthopaedic PT owner in Seattle. Browser pass needed.</t>
  </si>
  <si>
    <t>Barbara Ann Carey</t>
  </si>
  <si>
    <t>RUN SEATTLE PHYSICAL THERAPY PLLC</t>
  </si>
  <si>
    <t>https://www.linkedin.com/in/barbara-ann-carey/</t>
  </si>
  <si>
    <t>PIPELINE ONLY - PostURL missing. PLLC owner in Seattle. Browser pass needed.</t>
  </si>
  <si>
    <t>Katherine Kim</t>
  </si>
  <si>
    <t>KatherineKimPT LLC</t>
  </si>
  <si>
    <t>Bellevue WA</t>
  </si>
  <si>
    <t>https://www.linkedin.com/in/katherine0kim/</t>
  </si>
  <si>
    <t>PIPELINE ONLY - PostURL missing. Solo LLC owner in Bellevue. Browser pass needed.</t>
  </si>
  <si>
    <t>Anna Friedman</t>
  </si>
  <si>
    <t>Upward Physical Therapy Performance &amp; Wellness LLC</t>
  </si>
  <si>
    <t>https://www.linkedin.com/in/anna-friedman-b1706612/</t>
  </si>
  <si>
    <t>PIPELINE ONLY - PostURL missing. LLC in Seattle. Browser pass needed.</t>
  </si>
  <si>
    <t>Allison Davis DPT</t>
  </si>
  <si>
    <t>Game Changer Physical Therapy</t>
  </si>
  <si>
    <t>https://www.linkedin.com/in/allison-davis-dpt/</t>
  </si>
  <si>
    <t>PIPELINE ONLY - PostURL missing. Owner in Greater Seattle. Browser pass needed.</t>
  </si>
  <si>
    <t>Randi Sundby</t>
  </si>
  <si>
    <t>Maple Leaf Physical Therapy PLLC</t>
  </si>
  <si>
    <t>https://www.linkedin.com/in/randi-sundby-539448133/</t>
  </si>
  <si>
    <t>PIPELINE ONLY - PostURL missing. PLLC in Seattle neighborhood. Browser pass needed.</t>
  </si>
  <si>
    <t>Caitlin Wesen</t>
  </si>
  <si>
    <t>NORTH HARBOR PHYSICAL THERAPY LLC</t>
  </si>
  <si>
    <t>https://www.linkedin.com/in/caitlin-wesen-543795192/</t>
  </si>
  <si>
    <t>PIPELINE ONLY - PostURL missing. LLC in Greater Seattle. Browser pass needed.</t>
  </si>
  <si>
    <t>Kerry DeGaetani</t>
  </si>
  <si>
    <t>New Leaf Physical Therapy and Wellness</t>
  </si>
  <si>
    <t>https://www.linkedin.com/in/kerry-degaetani-90a89a69/</t>
  </si>
  <si>
    <t>PIPELINE ONLY - PostURL missing. Owner in Seattle. Browser pass needed.</t>
  </si>
  <si>
    <t>Erik Norwood</t>
  </si>
  <si>
    <t>Renew Physical Therapy Seattle</t>
  </si>
  <si>
    <t>https://www.linkedin.com/in/erik-norwood-74980b115/</t>
  </si>
  <si>
    <t>PIPELINE ONLY - PostURL missing. Owner of small independent Seattle clinic. Browser pass needed.</t>
  </si>
  <si>
    <t>Eli Zygmuntowicz</t>
  </si>
  <si>
    <t>Alpine Physical Therapy</t>
  </si>
  <si>
    <t>https://www.linkedin.com/in/eli-zygmuntowicz-a3021111a/</t>
  </si>
  <si>
    <t>PIPELINE ONLY - PostURL missing. Co-owner of 3-PT independent collective in Seattle. Browser pass needed.</t>
  </si>
  <si>
    <t>Jody Dexter</t>
  </si>
  <si>
    <t>Dexter Physical Therapy</t>
  </si>
  <si>
    <t>West Seattle WA</t>
  </si>
  <si>
    <t>https://www.linkedin.com/in/jody-dexter-orthopedic-physical-therapist-west-seattle-washington/</t>
  </si>
  <si>
    <t>PIPELINE ONLY - PostURL missing. 19-year solo owner in West Seattle. Website confirmed: dexterphysicaltherapy.com. Browser pass needed.</t>
  </si>
  <si>
    <t>Ashley Smith DPT</t>
  </si>
  <si>
    <t>Seattle's Elite Physical Therapy Inc</t>
  </si>
  <si>
    <t>https://www.linkedin.com/in/ashley-smith-dpt-comt-cscs-ci-12b481125/</t>
  </si>
  <si>
    <t>PIPELINE ONLY - PostURL missing. Owner of independent clinic in Seattle. Browser pass needed.</t>
  </si>
  <si>
    <t>Andrew Holloway DPT</t>
  </si>
  <si>
    <t>Sea Pines Physical Therapy</t>
  </si>
  <si>
    <t>https://www.linkedin.com/in/andrew-holloway-dpt-ocs-cscs-a84700a3/</t>
  </si>
  <si>
    <t>PIPELINE ONLY - PostURL missing. Owner of small independent clinic in Seattle. Browser pass needed.</t>
  </si>
  <si>
    <t>Sarah Anderson DPT</t>
  </si>
  <si>
    <t>Anderson &amp; Cattone Physical Therapy Inc</t>
  </si>
  <si>
    <t>https://www.linkedin.com/in/sarah-anderson-dpt-ocs-mtc-faaompt-8a11b333/</t>
  </si>
  <si>
    <t>PIPELINE ONLY - PostURL missing. Co-owner of hybrid boutique in downtown Seattle. FAAOMPT credentials. Browser pass needed.</t>
  </si>
  <si>
    <t>Drew Thompson DPT</t>
  </si>
  <si>
    <t>Penultimate Step Sports Rehab</t>
  </si>
  <si>
    <t>https://www.linkedin.com/in/dptdrew/</t>
  </si>
  <si>
    <t>PIPELINE ONLY - PostURL missing. Owner of small sports rehab clinic in Greater Seattle. Browser pass needed.</t>
  </si>
  <si>
    <t>Bayley Laketa DPT</t>
  </si>
  <si>
    <t>Bayley Physical Therapy PLLC</t>
  </si>
  <si>
    <t>Gig Harbor WA</t>
  </si>
  <si>
    <t>https://www.linkedin.com/in/bayleylaketa/</t>
  </si>
  <si>
    <t>PIPELINE ONLY - PostURL missing. PLLC owner in Gig Harbor. Browser pass needed.</t>
  </si>
  <si>
    <t>Mark Dutton</t>
  </si>
  <si>
    <t>Peninsula Physical Therapy</t>
  </si>
  <si>
    <t>Belfair WA</t>
  </si>
  <si>
    <t>https://www.linkedin.com/in/mark-dutton-534869a1/</t>
  </si>
  <si>
    <t>PIPELINE ONLY - PostURL missing. Clinic owner on Kitsap Peninsula. Browser pass needed.</t>
  </si>
  <si>
    <t>Amber Scouller PT DPT</t>
  </si>
  <si>
    <t>Olympic Sports &amp; Spine</t>
  </si>
  <si>
    <t>https://www.linkedin.com/in/amber-scouller-pt-dpt-comt-b8027173/</t>
  </si>
  <si>
    <t>PIPELINE ONLY - PostURL missing. Clinic Director in Gig Harbor. Confirm ownership vs employed before outreach. Browser pass needed.</t>
  </si>
  <si>
    <t>Christine Pieton DPT MBA</t>
  </si>
  <si>
    <t>Pieton Physical Therapy</t>
  </si>
  <si>
    <t>https://www.linkedin.com/in/christine-pieton-dpt-mba-88a27345/</t>
  </si>
  <si>
    <t>PIPELINE ONLY - PostURL missing. DPT + MBA = business-minded founder. Browser pass needed.</t>
  </si>
  <si>
    <t>Phillip Higgins PT DPT</t>
  </si>
  <si>
    <t>Bespoke Physical Therapy</t>
  </si>
  <si>
    <t>https://www.linkedin.com/in/phillip-higgins-pt-dpt-scs-942bb766/</t>
  </si>
  <si>
    <t>PIPELINE ONLY - PostURL missing. Owner of boutique independent PT in Seattle area. Browser pass needed.</t>
  </si>
  <si>
    <t>Carrie Hall</t>
  </si>
  <si>
    <t>SISU Physical Therapy and Mentoring Services LLC</t>
  </si>
  <si>
    <t>https://www.linkedin.com/in/carrie-hall-9962807/</t>
  </si>
  <si>
    <t>PIPELINE ONLY - PostURL missing. PT owner who mentors other PTs. Deeply aware of practice pain points. Browser pass needed.</t>
  </si>
  <si>
    <t>Megan Thomas PT DPT</t>
  </si>
  <si>
    <t>RET Physical Therapy &amp; Healthcare Specialists</t>
  </si>
  <si>
    <t>Washington State</t>
  </si>
  <si>
    <t>https://www.linkedin.com/in/megan-thomas-dpt/</t>
  </si>
  <si>
    <t>PIPELINE ONLY - PostURL missing. Has advocated for fair insurance contracts publicly. Washington state. Browser pass needed.</t>
  </si>
  <si>
    <t>Nancy Bywater-Johnson</t>
  </si>
  <si>
    <t>Independent Physical Therapy Practice</t>
  </si>
  <si>
    <t>https://www.linkedin.com/in/nancy-bywater-johnson-84143543/</t>
  </si>
  <si>
    <t>PIPELINE ONLY - PostURL missing. Owner title confirmed. Location unknown. Verify before outreach.</t>
  </si>
  <si>
    <t>Jarod Carter PT DPT</t>
  </si>
  <si>
    <t>DrJarodCarter.com</t>
  </si>
  <si>
    <t>Austin TX</t>
  </si>
  <si>
    <t>Running a cash-based private PT practice is the only way I know to practice with full integrity... insurance companies have turned PT into a commodity.</t>
  </si>
  <si>
    <t>https://www.linkedin.com/in/drjarodcarter/</t>
  </si>
  <si>
    <t>PIPELINE ONLY - PostURL missing (pain quote exists but no specific post URL captured). Prominent private practice PT voice. Browser pass needed to find specific post.</t>
  </si>
  <si>
    <t>Susie Loberfeld</t>
  </si>
  <si>
    <t>Hudson In Home Physical Therapy PLLC</t>
  </si>
  <si>
    <t>Hudson NY</t>
  </si>
  <si>
    <t>https://www.linkedin.com/in/susie-loberfeld-65291245/</t>
  </si>
  <si>
    <t>PIPELINE ONLY - PostURL missing. PLLC owner in NY. US-wide pipeline.</t>
  </si>
  <si>
    <t>Alexa Hill PT DPT</t>
  </si>
  <si>
    <t>NW Sports PT</t>
  </si>
  <si>
    <t>Pacific NW</t>
  </si>
  <si>
    <t>https://www.linkedin.com/in/alexa-hill-pt-dpt-ocs-44662a161/</t>
  </si>
  <si>
    <t>PIPELINE ONLY - PostURL missing. Pacific NW sports PT practice owner. Verify Seattle-area before outreach.</t>
  </si>
  <si>
    <t>Frank Garza</t>
  </si>
  <si>
    <t>Pure Physical Therapy &amp; Pilates</t>
  </si>
  <si>
    <t>US</t>
  </si>
  <si>
    <t>https://www.linkedin.com/in/frank-garza-89789344/</t>
  </si>
  <si>
    <t>PIPELINE ONLY - PostURL missing. Co-founder of PT billing company AND PT practice. High pain awareness from both sides.</t>
  </si>
  <si>
    <t>Primary ICP — hospital-employed physician researching S-corp setup</t>
  </si>
  <si>
    <t>Jun 01 — transition physicians</t>
  </si>
  <si>
    <t>I've been in regular employment with an academic hospital for the longest time and am just becoming aware of the advantages of forming a corporation/LLC that gets taxed as an S corp. I recently moved and as a result have worked at many different hospitals while I'm trying to see where I want to land.</t>
  </si>
  <si>
    <t>https://www.reddit.com/user/AHaydenL</t>
  </si>
  <si>
    <t>https://www.reddit.com/r/whitecoatinvestor/comments/1tqnjiq/getting_hospitals_to_work_with_you_as_an_s_corp/</t>
  </si>
  <si>
    <t>r/whitecoatinvestor S-corp thread — post author — Reference their exact situation: hospital-employed physician realizing S-corp advantage late. Offer the structured financial setup session. Pain is real and current.</t>
  </si>
  <si>
    <t>Primary ICP — actively mid-transition from hospital to DPC; asking specific legal/structure questions</t>
  </si>
  <si>
    <t>To all the DPC docs out there — if I am working for a hospital but starting a DPC do I have to opt out of Medicare for the DPC practice? What are the hurdles/issues/details that I should consider? Does this affect the full time job in any way? If an attorney is recommended which one: is it healthcare specific attny?</t>
  </si>
  <si>
    <t>https://www.reddit.com/user/Alterdoc</t>
  </si>
  <si>
    <t>https://www.reddit.com/r/DirectPrimaryCare/comments/135vin4/starting_dpc_while_working_another_job/</t>
  </si>
  <si>
    <t>r/DirectPrimaryCare DPC transition thread — commenter — Reference their exact question: Medicare opt-out + attorney type for dual-role DPC. This is a textbook PhysicianLabs pain. Offer a 20-min call to walk through the exact decision tree.</t>
  </si>
  <si>
    <t>Primary ICP — physician actively planning DPC exit from corporate employer</t>
  </si>
  <si>
    <t>My current job isn't very fulfilling. Mostly due to the corporation I'm working for. After this job being so bad I want an exit strategy for any new position. Do you all think it would be possible to build a DPC practice concurrently while working a schedule like this?</t>
  </si>
  <si>
    <t>https://www.reddit.com/user/SSRIplease</t>
  </si>
  <si>
    <t>r/DirectPrimaryCare — post author — Reference their exit strategy framing. They are at the exact moment PhysicianLabs is built for. Short message referencing their frustration with the corporation and offering structured DPC setup guidance.</t>
  </si>
  <si>
    <t>Primary ICP — burned-out employed physician actively seeking options including concierge/DPC (recommended in comments)</t>
  </si>
  <si>
    <t>32M Family Med Physician. Assets &lt;$200k. Debt ~$350k student loans. Income ~$250k. Just burnt out. Currently working federally for PSLF as a PCP seeing about 16 to 18 patients per day.</t>
  </si>
  <si>
    <t>https://www.reddit.com/user/Ok_Respect4534</t>
  </si>
  <si>
    <t>https://www.reddit.com/r/whitecoatinvestor/comments/1t6b6va/discouraged_as_a_primary_care_physician/</t>
  </si>
  <si>
    <t>r/whitecoatinvestor — post author actively asking for advice on path forward — Reference their burnout post. Many commenters recommended concierge/DPC to them. Offer a no-pitch 20-min call on what the transition actually looks like operationally.</t>
  </si>
  <si>
    <t>Primary ICP — left large hospital system; experienced noncompete pain; understands institutional constraints deeply</t>
  </si>
  <si>
    <t>As an ex banner physician part of the reason is they have a very draconian noncompete the implications of which don't really sink in until people decide perhaps they're going to leave. While in my day it was six months in any group larger than 12 within something like a 20 mile radius of a banner facility the Phoenix Metro area is never more than 20 miles away from one of the many Banner facilities.</t>
  </si>
  <si>
    <t>https://www.reddit.com/user/jrpg8255</t>
  </si>
  <si>
    <t>https://www.reddit.com/r/medicine/comments/1tbfevj/banner_health_punishes_family_medicine_physician/</t>
  </si>
  <si>
    <t>r/medicine Banner Health thread — commenter with direct experience — Reference their noncompete experience. Ask whether they eventually went independent and how they navigated the transition.</t>
  </si>
  <si>
    <t>Secondary — physician advocate; DPC-aware but transition stage unclear</t>
  </si>
  <si>
    <t>First off congrats on using the word CORPORATION. We need to excessively push this term to be used instead of hospital. Sooner or later primary care docs need to start a union. Hospital systems need to stop treating primary care like procedural medicine.</t>
  </si>
  <si>
    <t>https://www.reddit.com/user/Trying-sanity</t>
  </si>
  <si>
    <t>r/DirectPrimaryCare — commenter with strong anti-corporate stance — Lower priority. Reference their anti-corporation stance and ask if they've made the jump to independent practice.</t>
  </si>
  <si>
    <t>Secondary ICP — established independent physician; potential referral source or P&amp;L dashboard customer</t>
  </si>
  <si>
    <t>5 years in private practice IM MCOL area and probably going to hit 350k this year working M-F 9-4 no weekends/evenings/inpatient.</t>
  </si>
  <si>
    <t>https://www.reddit.com/user/Farnk20</t>
  </si>
  <si>
    <t>r/whitecoatinvestor — commenter on discouraged PCP thread — Referral source angle: has network of employed PCPs looking to make the same transition he made. Ask what he wished he'd known when he made the jump.</t>
  </si>
  <si>
    <t>Secondary ICP — established independent; aware of concierge conversion opportunity</t>
  </si>
  <si>
    <t>There's a different stress between being an employed PCP and hanging your own shingle/being partner. It's a lot of work to tend to your flock but the real value to me is the longitudinal relationship. You have no leverage to sell to concierge or anything like that.</t>
  </si>
  <si>
    <t>https://www.reddit.com/user/Gorfang</t>
  </si>
  <si>
    <t>r/whitecoatinvestor — commenter referencing own practice experience — Referral source / secondary ICP. References concierge conversion — directly relevant to PhysicianLabs positioning.</t>
  </si>
  <si>
    <t>Potential referral source — advocates concierge model; likely has navigated setup themselves</t>
  </si>
  <si>
    <t>I would personally focus on starting a concierge's/subscription medicine group and going after the top clientele in your area. A lot of people with $$ don't want to see a NP who doesn't have the educational level and experience you have.</t>
  </si>
  <si>
    <t>https://www.reddit.com/user/CactusSkies</t>
  </si>
  <si>
    <t>r/whitecoatinvestor — commenter recommending concierge path — Lower priority. If they run their own concierge practice they are a potential secondary ICP or referral source.</t>
  </si>
  <si>
    <t>Potential referral source — specialist with concierge physician network contacts</t>
  </si>
  <si>
    <t>Transition to concierge medicine. Im a specialist but if I did PCP i would 1000% build a concierge medicine practice to high income individuals in your area. I know many FM and IM doctors that do this that have a very high income.</t>
  </si>
  <si>
    <t>https://www.reddit.com/user/gamergeek987</t>
  </si>
  <si>
    <t>r/whitecoatinvestor — commenter recommending concierge path to burned-out PCP — Referral angle: you mentioned you know FM/IM doctors doing concierge — would you be open to connecting me with one who is in the early stage of that transition?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</si>
</sst>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7" x14ac:knownFonts="1">
    <font>
      <color theme="1"/>
      <family val="2"/>
      <scheme val="minor"/>
      <sz val="11"/>
      <name val="Calibri"/>
    </font>
    <font>
      <b/>
      <color rgb="FF1F3864"/>
      <sz val="16"/>
      <name val="Arial"/>
    </font>
    <font>
      <i/>
      <color rgb="FF7F7F7F"/>
      <sz val="10"/>
      <name val="Arial"/>
    </font>
    <font>
      <b/>
      <color rgb="FF2E5496"/>
      <sz val="13"/>
      <name val="Arial"/>
    </font>
    <font>
      <b/>
      <color rgb="FFFFFFFF"/>
      <name val="Arial"/>
    </font>
    <font>
      <sz val="10"/>
      <name val="Arial"/>
    </font>
    <font>
      <b/>
      <sz val="10"/>
      <name val="Arial"/>
    </font>
    <font>
      <b/>
      <color rgb="FF1F3864"/>
      <sz val="11"/>
      <name val="Arial"/>
    </font>
    <font>
      <b/>
      <color rgb="FF2E5496"/>
      <sz val="12"/>
      <name val="Arial"/>
    </font>
    <font>
      <b/>
      <color rgb="FF2E5496"/>
      <sz val="10"/>
      <name val="Arial"/>
    </font>
    <font>
      <b/>
      <color rgb="FFFFFFFF"/>
      <sz val="9"/>
      <name val="Arial"/>
    </font>
    <font>
      <b/>
      <sz val="9"/>
      <name val="Arial"/>
    </font>
    <font>
      <sz val="9"/>
      <name val="Arial"/>
    </font>
    <font>
      <b/>
      <color rgb="FFFFFFFF"/>
      <sz val="11"/>
      <name val="Arial"/>
    </font>
    <font>
      <b/>
      <color rgb="FF1F3864"/>
      <sz val="13"/>
      <name val="Arial"/>
    </font>
    <font>
      <i/>
      <color rgb="FF7F7F7F"/>
      <sz val="9"/>
      <name val="Arial"/>
    </font>
    <font>
      <u/>
      <color rgb="FF0563C1"/>
      <sz val="9"/>
      <name val="Arial"/>
    </font>
  </fonts>
  <fills count="10">
    <fill>
      <patternFill patternType="none"/>
    </fill>
    <fill>
      <patternFill patternType="gray125"/>
    </fill>
    <fill>
      <patternFill patternType="solid">
        <fgColor rgb="FF2E5496"/>
      </patternFill>
    </fill>
    <fill>
      <patternFill patternType="solid">
        <fgColor rgb="FFC6EFCE"/>
      </patternFill>
    </fill>
    <fill>
      <patternFill patternType="solid">
        <fgColor rgb="FFF8CBAD"/>
      </patternFill>
    </fill>
    <fill>
      <patternFill patternType="solid">
        <fgColor rgb="FFD9E1F2"/>
      </patternFill>
    </fill>
    <fill>
      <patternFill patternType="solid">
        <fgColor rgb="FFF2F2F2"/>
      </patternFill>
    </fill>
    <fill>
      <patternFill patternType="solid">
        <fgColor rgb="FFFFF2CC"/>
      </patternFill>
    </fill>
    <fill>
      <patternFill patternType="solid">
        <fgColor rgb="FF548235"/>
      </patternFill>
    </fill>
    <fill>
      <patternFill patternType="solid">
        <fgColor rgb="FFA6A6A6"/>
      </patternFill>
    </fill>
  </fills>
  <borders count="3">
    <border>
      <left/>
      <right/>
      <top/>
      <bottom/>
      <diagonal/>
    </border>
    <border>
      <left/>
      <right/>
      <top/>
      <bottom style="hair">
        <color rgb="FFBFBFBF"/>
      </bottom>
      <diagonal/>
    </border>
    <border>
      <left/>
      <right/>
      <top/>
      <bottom style="thin">
        <color rgb="FF1F3864"/>
      </bottom>
      <diagonal/>
    </border>
  </borders>
  <cellStyleXfs count="1">
    <xf numFmtId="0" fontId="0" fillId="0" borderId="0"/>
  </cellStyleXfs>
  <cellXfs count="45">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vertical="center" wrapText="1"/>
    </xf>
    <xf numFmtId="0" fontId="5" fillId="0" borderId="1" xfId="0" applyFont="1" applyBorder="1"/>
    <xf numFmtId="0" fontId="6" fillId="3" borderId="1" xfId="0" applyFont="1" applyFill="1" applyBorder="1" applyAlignment="1">
      <alignment horizontal="center"/>
    </xf>
    <xf numFmtId="0" fontId="5" fillId="0" borderId="1" xfId="0" applyFont="1" applyBorder="1" applyAlignment="1">
      <alignment wrapText="1"/>
    </xf>
    <xf numFmtId="0" fontId="6" fillId="4" borderId="1" xfId="0" applyFont="1" applyFill="1" applyBorder="1" applyAlignment="1">
      <alignment horizontal="center"/>
    </xf>
    <xf numFmtId="0" fontId="5" fillId="0" borderId="0" xfId="0" applyFont="1"/>
    <xf numFmtId="0" fontId="7" fillId="5" borderId="0" xfId="0" applyFont="1" applyFill="1" applyAlignment="1">
      <alignment horizontal="center"/>
    </xf>
    <xf numFmtId="0" fontId="8" fillId="0" borderId="0" xfId="0" applyFont="1"/>
    <xf numFmtId="0" fontId="9" fillId="0" borderId="0" xfId="0" applyFont="1"/>
    <xf numFmtId="0" fontId="5" fillId="0" borderId="0" xfId="0" applyFont="1" applyAlignment="1">
      <alignment wrapText="1"/>
    </xf>
    <xf numFmtId="0" fontId="4" fillId="2" borderId="0" xfId="0" applyFont="1" applyFill="1" applyAlignment="1">
      <alignment horizontal="center"/>
    </xf>
    <xf numFmtId="0" fontId="4" fillId="2" borderId="0" xfId="0" applyFont="1" applyFill="1"/>
    <xf numFmtId="0" fontId="6" fillId="0" borderId="0" xfId="0" applyFont="1"/>
    <xf numFmtId="0" fontId="5" fillId="6" borderId="0" xfId="0" applyFont="1" applyFill="1" applyAlignment="1">
      <alignment horizontal="center"/>
    </xf>
    <xf numFmtId="164" fontId="5" fillId="0" borderId="0" xfId="0" applyNumberFormat="1" applyFont="1" applyAlignment="1">
      <alignment horizontal="center"/>
    </xf>
    <xf numFmtId="0" fontId="5" fillId="0" borderId="0" xfId="0" applyFont="1" applyAlignment="1">
      <alignment vertical="center" wrapText="1"/>
    </xf>
    <xf numFmtId="0" fontId="5" fillId="7" borderId="0" xfId="0" applyFont="1" applyFill="1" applyAlignment="1">
      <alignment horizontal="center"/>
    </xf>
    <xf numFmtId="0" fontId="5" fillId="4" borderId="0" xfId="0" applyFont="1" applyFill="1" applyAlignment="1">
      <alignment horizontal="center"/>
    </xf>
    <xf numFmtId="0" fontId="5" fillId="3" borderId="0" xfId="0" applyFont="1" applyFill="1" applyAlignment="1">
      <alignment horizontal="center"/>
    </xf>
    <xf numFmtId="0" fontId="10" fillId="2" borderId="0" xfId="0" applyFont="1" applyFill="1" applyAlignment="1">
      <alignment horizontal="center" vertical="center" wrapText="1"/>
    </xf>
    <xf numFmtId="0" fontId="11" fillId="0" borderId="0" xfId="0" applyFont="1"/>
    <xf numFmtId="0" fontId="12" fillId="6" borderId="0" xfId="0" applyFont="1" applyFill="1" applyAlignment="1">
      <alignment horizontal="center"/>
    </xf>
    <xf numFmtId="164" fontId="12" fillId="0" borderId="0" xfId="0" applyNumberFormat="1" applyFont="1" applyAlignment="1">
      <alignment horizontal="center"/>
    </xf>
    <xf numFmtId="0" fontId="12" fillId="0" borderId="0" xfId="0" applyFont="1" applyAlignment="1">
      <alignment vertical="top" wrapText="1"/>
    </xf>
    <xf numFmtId="0" fontId="12" fillId="0" borderId="0" xfId="0" applyFont="1" applyAlignment="1">
      <alignment horizontal="center"/>
    </xf>
    <xf numFmtId="0" fontId="13" fillId="2" borderId="2" xfId="0" applyFont="1" applyFill="1" applyBorder="1" applyAlignment="1">
      <alignment horizontal="left" vertical="center" wrapText="1"/>
    </xf>
    <xf numFmtId="0" fontId="5" fillId="0" borderId="0" xfId="0" applyFont="1" applyAlignment="1">
      <alignment vertical="top" wrapText="1"/>
    </xf>
    <xf numFmtId="0" fontId="6" fillId="0" borderId="0" xfId="0" applyFont="1" applyAlignment="1">
      <alignment vertical="top" wrapText="1"/>
    </xf>
    <xf numFmtId="0" fontId="5" fillId="3" borderId="0" xfId="0" applyFont="1" applyFill="1" applyAlignment="1">
      <alignment vertical="top" wrapText="1"/>
    </xf>
    <xf numFmtId="0" fontId="5" fillId="7" borderId="0" xfId="0" applyFont="1" applyFill="1" applyAlignment="1">
      <alignment vertical="top" wrapText="1"/>
    </xf>
    <xf numFmtId="0" fontId="5" fillId="4" borderId="0" xfId="0" applyFont="1" applyFill="1" applyAlignment="1">
      <alignment vertical="top" wrapText="1"/>
    </xf>
    <xf numFmtId="0" fontId="14" fillId="0" borderId="0" xfId="0" applyFont="1"/>
    <xf numFmtId="0" fontId="15" fillId="0" borderId="0" xfId="0" applyFont="1"/>
    <xf numFmtId="0" fontId="5" fillId="6" borderId="0" xfId="0" applyFont="1" applyFill="1" applyAlignment="1">
      <alignment vertical="top" wrapText="1"/>
    </xf>
    <xf numFmtId="0" fontId="4" fillId="8" borderId="0" xfId="0" applyFont="1" applyFill="1" applyAlignment="1">
      <alignment vertical="center"/>
    </xf>
    <xf numFmtId="0" fontId="4" fillId="9" borderId="0" xfId="0" applyFont="1" applyFill="1"/>
    <xf numFmtId="0" fontId="11" fillId="0" borderId="0" xfId="0" applyFont="1" applyAlignment="1">
      <alignment vertical="top" wrapText="1"/>
    </xf>
    <xf numFmtId="0" fontId="12" fillId="3" borderId="0" xfId="0" applyFont="1" applyFill="1" applyAlignment="1">
      <alignment horizontal="center" vertical="top"/>
    </xf>
    <xf numFmtId="0" fontId="16" fillId="0" borderId="0" xfId="0" applyFont="1" applyAlignment="1">
      <alignment vertical="top" wrapText="1"/>
    </xf>
    <xf numFmtId="0" fontId="12" fillId="7" borderId="0" xfId="0" applyFont="1" applyFill="1" applyAlignment="1">
      <alignment horizontal="center" vertical="top"/>
    </xf>
    <xf numFmtId="0" fontId="12" fillId="6" borderId="0" xfId="0" applyFont="1"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www.linkedin.com/in/shaka-hatcher-03224b122/" TargetMode="External"/><Relationship Id="rId2" Type="http://schemas.openxmlformats.org/officeDocument/2006/relationships/hyperlink" Target="https://www.linkedin.com/in/shaka-hatcher-03224b122/" TargetMode="External"/><Relationship Id="rId3" Type="http://schemas.openxmlformats.org/officeDocument/2006/relationships/hyperlink" Target="https://www.linkedin.com/in/michael-li-06182717/" TargetMode="External"/><Relationship Id="rId4" Type="http://schemas.openxmlformats.org/officeDocument/2006/relationships/hyperlink" Target="https://www.linkedin.com/in/michael-li-06182717/" TargetMode="External"/><Relationship Id="rId5" Type="http://schemas.openxmlformats.org/officeDocument/2006/relationships/hyperlink" Target="https://www.reddit.com/user/Snapcracklepayme/" TargetMode="External"/><Relationship Id="rId6" Type="http://schemas.openxmlformats.org/officeDocument/2006/relationships/hyperlink" Target="https://www.reddit.com/r/Chiropractic/comments/1s8cptk/pva_why_cases_fall_apart_before_they_should_and/" TargetMode="External"/><Relationship Id="rId7" Type="http://schemas.openxmlformats.org/officeDocument/2006/relationships/hyperlink" Target="https://www.reddit.com/user/crossfit6/" TargetMode="External"/><Relationship Id="rId8" Type="http://schemas.openxmlformats.org/officeDocument/2006/relationships/hyperlink" Target="https://www.reddit.com/r/Chiropractic/comments/1s2h9zj/chirospring_vs_chirocat/" TargetMode="External"/><Relationship Id="rId9" Type="http://schemas.openxmlformats.org/officeDocument/2006/relationships/hyperlink" Target="https://www.reddit.com/user/chakratones/" TargetMode="External"/><Relationship Id="rId10" Type="http://schemas.openxmlformats.org/officeDocument/2006/relationships/hyperlink" Target="https://www.reddit.com/r/Dermatology/comments/1r854jx/prior_authorizations_for_biologics_are_consuming/" TargetMode="External"/><Relationship Id="rId11" Type="http://schemas.openxmlformats.org/officeDocument/2006/relationships/hyperlink" Target="https://www.linkedin.com/search/results/people/?keywords=Heather+Rogers+dermatologist+seattle" TargetMode="External"/><Relationship Id="rId12" Type="http://schemas.openxmlformats.org/officeDocument/2006/relationships/hyperlink" Target="https://www.linkedin.com/in/heather-rogers/" TargetMode="External"/><Relationship Id="rId13" Type="http://schemas.openxmlformats.org/officeDocument/2006/relationships/hyperlink" Target="https://www.linkedin.com/in/samirmaster/" TargetMode="External"/><Relationship Id="rId14" Type="http://schemas.openxmlformats.org/officeDocument/2006/relationships/hyperlink" Target="https://www.linkedin.com/in/samirmaster/" TargetMode="External"/><Relationship Id="rId15" Type="http://schemas.openxmlformats.org/officeDocument/2006/relationships/hyperlink" Target="https://www.linkedin.com/in/elielevymd/" TargetMode="External"/><Relationship Id="rId16" Type="http://schemas.openxmlformats.org/officeDocument/2006/relationships/hyperlink" Target="https://www.linkedin.com/in/elielevymd/" TargetMode="External"/><Relationship Id="rId17" Type="http://schemas.openxmlformats.org/officeDocument/2006/relationships/hyperlink" Target="https://www.reddit.com/user/stevesmith7878/" TargetMode="External"/><Relationship Id="rId18" Type="http://schemas.openxmlformats.org/officeDocument/2006/relationships/hyperlink" Target="https://www.reddit.com/r/Chiropractic/comments/1s2h9zj/chirospring_vs_chirocat/" TargetMode="External"/><Relationship Id="rId19" Type="http://schemas.openxmlformats.org/officeDocument/2006/relationships/hyperlink" Target="https://www.reddit.com/user/dermpharm/" TargetMode="External"/><Relationship Id="rId20" Type="http://schemas.openxmlformats.org/officeDocument/2006/relationships/hyperlink" Target="https://www.reddit.com/r/Dermatology/comments/1qgzey0/prior_authorization_appeals_peer_2_peer_support/" TargetMode="External"/><Relationship Id="rId21" Type="http://schemas.openxmlformats.org/officeDocument/2006/relationships/hyperlink" Target="https://www.reddit.com/user/Dermdoccy/" TargetMode="External"/><Relationship Id="rId22" Type="http://schemas.openxmlformats.org/officeDocument/2006/relationships/hyperlink" Target="https://www.reddit.com/r/Dermatology/comments/1r854jx/prior_authorizations_for_biologics_are_consuming/" TargetMode="External"/><Relationship Id="rId23" Type="http://schemas.openxmlformats.org/officeDocument/2006/relationships/hyperlink" Target="https://www.reddit.com/user/cicjak/" TargetMode="External"/><Relationship Id="rId24" Type="http://schemas.openxmlformats.org/officeDocument/2006/relationships/hyperlink" Target="https://www.reddit.com/r/Dermatology/comments/1r854jx/prior_authorizations_for_biologics_are_consuming/" TargetMode="External"/><Relationship Id="rId25" Type="http://schemas.openxmlformats.org/officeDocument/2006/relationships/hyperlink" Target="https://www.linkedin.com/in/miles-mitchell-dc-3093b856/" TargetMode="External"/><Relationship Id="rId26" Type="http://schemas.openxmlformats.org/officeDocument/2006/relationships/hyperlink" Target="https://www.linkedin.com/in/miles-mitchell-dc-3093b856/" TargetMode="External"/><Relationship Id="rId27" Type="http://schemas.openxmlformats.org/officeDocument/2006/relationships/hyperlink" Target="https://www.linkedin.com/in/s-max-vale-md-faad-265a7135/" TargetMode="External"/><Relationship Id="rId28" Type="http://schemas.openxmlformats.org/officeDocument/2006/relationships/hyperlink" Target="https://www.linkedin.com/in/s-max-vale-md-faad-265a7135/" TargetMode="External"/><Relationship Id="rId29" Type="http://schemas.openxmlformats.org/officeDocument/2006/relationships/hyperlink" Target="https://www.reddit.com/user/jennybear0222/" TargetMode="External"/><Relationship Id="rId30" Type="http://schemas.openxmlformats.org/officeDocument/2006/relationships/hyperlink" Target="https://www.reddit.com/r/Chiropractic/comments/1ssvsk2/ic_to_business_owner_advice/" TargetMode="External"/><Relationship Id="rId31" Type="http://schemas.openxmlformats.org/officeDocument/2006/relationships/hyperlink" Target="https://www.reddit.com/user/AdmirableAd1031/" TargetMode="External"/><Relationship Id="rId32" Type="http://schemas.openxmlformats.org/officeDocument/2006/relationships/hyperlink" Target="https://www.reddit.com/r/Chiropractic/comments/1ryjxuv/new_patients_the_trap_the_truth_and_how_to/" TargetMode="External"/><Relationship Id="rId33" Type="http://schemas.openxmlformats.org/officeDocument/2006/relationships/hyperlink" Target="https://www.reddit.com/user/Chaoss780/" TargetMode="External"/><Relationship Id="rId34" Type="http://schemas.openxmlformats.org/officeDocument/2006/relationships/hyperlink" Target="https://www.reddit.com/r/Chiropractic/comments/1ryjxuv/new_patients_the_trap_the_truth_and_how_to/" TargetMode="External"/><Relationship Id="rId35" Type="http://schemas.openxmlformats.org/officeDocument/2006/relationships/hyperlink" Target="https://www.reddit.com/user/Astaroth1993/" TargetMode="External"/><Relationship Id="rId36" Type="http://schemas.openxmlformats.org/officeDocument/2006/relationships/hyperlink" Target="https://www.reddit.com/r/Chiropractic/comments/1s8cptk/pva_why_cases_fall_apart_before_they_should_and/" TargetMode="External"/><Relationship Id="rId37" Type="http://schemas.openxmlformats.org/officeDocument/2006/relationships/hyperlink" Target="https://www.reddit.com/user/Mr_Gray/" TargetMode="External"/><Relationship Id="rId38" Type="http://schemas.openxmlformats.org/officeDocument/2006/relationships/hyperlink" Target="https://www.reddit.com/r/Dermatology/comments/1ow6k0g/ai_ehr_for_dermatologists_curious_thoughts/" TargetMode="External"/><Relationship Id="rId39" Type="http://schemas.openxmlformats.org/officeDocument/2006/relationships/hyperlink" Target="https://www.linkedin.com/in/jigar-patel-97868b268/" TargetMode="External"/><Relationship Id="rId40" Type="http://schemas.openxmlformats.org/officeDocument/2006/relationships/hyperlink" Target="https://www.linkedin.com/in/jigar-patel-97868b268/" TargetMode="External"/><Relationship Id="rId41" Type="http://schemas.openxmlformats.org/officeDocument/2006/relationships/hyperlink" Target="https://www.linkedin.com/in/joshua-penner-d-c-5410092b9/" TargetMode="External"/><Relationship Id="rId42" Type="http://schemas.openxmlformats.org/officeDocument/2006/relationships/hyperlink" Target="https://www.linkedin.com/in/joshua-penner-d-c-5410092b9/" TargetMode="External"/><Relationship Id="rId43" Type="http://schemas.openxmlformats.org/officeDocument/2006/relationships/hyperlink" Target="https://www.linkedin.com/in/jaime-garcia-039209149/" TargetMode="External"/><Relationship Id="rId44" Type="http://schemas.openxmlformats.org/officeDocument/2006/relationships/hyperlink" Target="https://www.linkedin.com/in/jaime-garcia-039209149/" TargetMode="External"/><Relationship Id="rId45" Type="http://schemas.openxmlformats.org/officeDocument/2006/relationships/hyperlink" Target="https://www.linkedin.com/in/nathan-moore-580111108/" TargetMode="External"/><Relationship Id="rId46" Type="http://schemas.openxmlformats.org/officeDocument/2006/relationships/hyperlink" Target="https://www.linkedin.com/in/nathan-moore-580111108/" TargetMode="External"/><Relationship Id="rId47" Type="http://schemas.openxmlformats.org/officeDocument/2006/relationships/hyperlink" Target="https://www.linkedin.com/in/drvanpham/" TargetMode="External"/><Relationship Id="rId48" Type="http://schemas.openxmlformats.org/officeDocument/2006/relationships/hyperlink" Target="https://www.linkedin.com/in/drvanpham/" TargetMode="External"/><Relationship Id="rId49" Type="http://schemas.openxmlformats.org/officeDocument/2006/relationships/hyperlink" Target="https://www.linkedin.com/in/carolyn-fancher-d-c-15b3b19/" TargetMode="External"/><Relationship Id="rId50" Type="http://schemas.openxmlformats.org/officeDocument/2006/relationships/hyperlink" Target="https://www.linkedin.com/in/carolyn-fancher-d-c-15b3b19/" TargetMode="External"/><Relationship Id="rId51" Type="http://schemas.openxmlformats.org/officeDocument/2006/relationships/hyperlink" Target="https://www.linkedin.com/in/andre-garay-b3a435153/" TargetMode="External"/><Relationship Id="rId52" Type="http://schemas.openxmlformats.org/officeDocument/2006/relationships/hyperlink" Target="https://www.linkedin.com/in/andre-garay-b3a435153/" TargetMode="External"/><Relationship Id="rId53" Type="http://schemas.openxmlformats.org/officeDocument/2006/relationships/hyperlink" Target="https://www.linkedin.com/in/brenda-newman-895a551a0/" TargetMode="External"/><Relationship Id="rId54" Type="http://schemas.openxmlformats.org/officeDocument/2006/relationships/hyperlink" Target="https://www.linkedin.com/in/brenda-newman-895a551a0/" TargetMode="External"/><Relationship Id="rId55" Type="http://schemas.openxmlformats.org/officeDocument/2006/relationships/hyperlink" Target="https://www.linkedin.com/in/dr-steven-greene/" TargetMode="External"/><Relationship Id="rId56" Type="http://schemas.openxmlformats.org/officeDocument/2006/relationships/hyperlink" Target="https://www.linkedin.com/in/dr-steven-greene/" TargetMode="External"/><Relationship Id="rId57" Type="http://schemas.openxmlformats.org/officeDocument/2006/relationships/hyperlink" Target="https://www.reddit.com/user/Kharm13/" TargetMode="External"/><Relationship Id="rId58" Type="http://schemas.openxmlformats.org/officeDocument/2006/relationships/hyperlink" Target="https://www.reddit.com/r/Chiropractic/comments/1ssvsk2/ic_to_business_owner_advice/" TargetMode="External"/><Relationship Id="rId59" Type="http://schemas.openxmlformats.org/officeDocument/2006/relationships/hyperlink" Target="https://www.reddit.com/user/ManipulateYa/" TargetMode="External"/><Relationship Id="rId60" Type="http://schemas.openxmlformats.org/officeDocument/2006/relationships/hyperlink" Target="https://www.reddit.com/r/Chiropractic/comments/1ssvsk2/ic_to_business_owner_advice/" TargetMode="External"/><Relationship Id="rId61" Type="http://schemas.openxmlformats.org/officeDocument/2006/relationships/hyperlink" Target="https://www.reddit.com/user/AK-Master-07/" TargetMode="External"/><Relationship Id="rId62" Type="http://schemas.openxmlformats.org/officeDocument/2006/relationships/hyperlink" Target="https://www.reddit.com/r/Chiropractic/comments/1ssvsk2/ic_to_business_owner_advice/" TargetMode="External"/><Relationship Id="rId63" Type="http://schemas.openxmlformats.org/officeDocument/2006/relationships/hyperlink" Target="https://www.reddit.com/user/barofsoap-69/" TargetMode="External"/><Relationship Id="rId64" Type="http://schemas.openxmlformats.org/officeDocument/2006/relationships/hyperlink" Target="https://www.reddit.com/r/Chiropractic/comments/1ryjxuv/new_patients_the_trap_the_truth_and_how_to/" TargetMode="External"/><Relationship Id="rId65" Type="http://schemas.openxmlformats.org/officeDocument/2006/relationships/hyperlink" Target="https://www.reddit.com/user/Standardchiropractor/" TargetMode="External"/><Relationship Id="rId66" Type="http://schemas.openxmlformats.org/officeDocument/2006/relationships/hyperlink" Target="https://www.reddit.com/r/Chiropractic/comments/1ryjxuv/new_patients_the_trap_the_truth_and_how_to/" TargetMode="External"/><Relationship Id="rId67" Type="http://schemas.openxmlformats.org/officeDocument/2006/relationships/hyperlink" Target="https://www.reddit.com/user/Lucked0ut/" TargetMode="External"/><Relationship Id="rId68" Type="http://schemas.openxmlformats.org/officeDocument/2006/relationships/hyperlink" Target="https://www.reddit.com/r/Chiropractic/comments/1s2h9zj/chirospring_vs_chirocat/" TargetMode="External"/><Relationship Id="rId69" Type="http://schemas.openxmlformats.org/officeDocument/2006/relationships/hyperlink" Target="https://www.reddit.com/user/supadude54/" TargetMode="External"/><Relationship Id="rId70" Type="http://schemas.openxmlformats.org/officeDocument/2006/relationships/hyperlink" Target="https://www.reddit.com/r/Dermatology/comments/1ruhrj1/is_it_feasible_for_dermatologists_in_private/" TargetMode="External"/><Relationship Id="rId71" Type="http://schemas.openxmlformats.org/officeDocument/2006/relationships/hyperlink" Target="https://www.reddit.com/user/Saikia_08/" TargetMode="External"/><Relationship Id="rId72" Type="http://schemas.openxmlformats.org/officeDocument/2006/relationships/hyperlink" Target="https://www.reddit.com/r/Dermatology/comments/1ruhrj1/is_it_feasible_for_dermatologists_in_private/" TargetMode="External"/><Relationship Id="rId73" Type="http://schemas.openxmlformats.org/officeDocument/2006/relationships/hyperlink" Target="https://www.reddit.com/user/Feeling-Ability-4306/" TargetMode="External"/><Relationship Id="rId74" Type="http://schemas.openxmlformats.org/officeDocument/2006/relationships/hyperlink" Target="https://www.reddit.com/r/Chiropractic/comments/1ryjxuv/new_patients_the_trap_the_truth_and_how_to/" TargetMode="External"/><Relationship Id="rId75" Type="http://schemas.openxmlformats.org/officeDocument/2006/relationships/hyperlink" Target="https://www.linkedin.com/in/christopher-henderson-2465734/" TargetMode="External"/><Relationship Id="rId76" Type="http://schemas.openxmlformats.org/officeDocument/2006/relationships/hyperlink" Target="https://www.linkedin.com/in/christopher-henderson-2465734/" TargetMode="External"/><Relationship Id="rId77" Type="http://schemas.openxmlformats.org/officeDocument/2006/relationships/hyperlink" Target="https://www.linkedin.com/in/james-ryan-dc-6794b28/" TargetMode="External"/><Relationship Id="rId78" Type="http://schemas.openxmlformats.org/officeDocument/2006/relationships/hyperlink" Target="https://www.linkedin.com/in/james-ryan-dc-6794b28/" TargetMode="External"/><Relationship Id="rId79" Type="http://schemas.openxmlformats.org/officeDocument/2006/relationships/hyperlink" Target="https://www.linkedin.com/in/john-zhang-7620ba41/" TargetMode="External"/><Relationship Id="rId80" Type="http://schemas.openxmlformats.org/officeDocument/2006/relationships/hyperlink" Target="https://www.linkedin.com/in/john-zhang-7620ba41/" TargetMode="External"/><Relationship Id="rId81" Type="http://schemas.openxmlformats.org/officeDocument/2006/relationships/hyperlink" Target="https://www.linkedin.com/in/patrick-toy-ptthept/" TargetMode="External"/><Relationship Id="rId82" Type="http://schemas.openxmlformats.org/officeDocument/2006/relationships/hyperlink" Target="https://www.linkedin.com/in/bryan-simpson-568738b5/" TargetMode="External"/><Relationship Id="rId83" Type="http://schemas.openxmlformats.org/officeDocument/2006/relationships/hyperlink" Target="https://www.linkedin.com/in/bruk-ballenger-7aa3a914a/" TargetMode="External"/><Relationship Id="rId84" Type="http://schemas.openxmlformats.org/officeDocument/2006/relationships/hyperlink" Target="https://www.linkedin.com/in/jennifer-aglubat-8856541b/" TargetMode="External"/><Relationship Id="rId85" Type="http://schemas.openxmlformats.org/officeDocument/2006/relationships/hyperlink" Target="https://www.linkedin.com/in/dr-orit-hickman-pt-dpt-tps-1a096117/" TargetMode="External"/><Relationship Id="rId86" Type="http://schemas.openxmlformats.org/officeDocument/2006/relationships/hyperlink" Target="https://www.linkedin.com/in/karen-seeley-66354b55/" TargetMode="External"/><Relationship Id="rId87" Type="http://schemas.openxmlformats.org/officeDocument/2006/relationships/hyperlink" Target="https://www.linkedin.com/in/karen-morgan-pt-dpt-27a32a113/" TargetMode="External"/><Relationship Id="rId88" Type="http://schemas.openxmlformats.org/officeDocument/2006/relationships/hyperlink" Target="https://www.linkedin.com/in/jenniferprewitt/" TargetMode="External"/><Relationship Id="rId89" Type="http://schemas.openxmlformats.org/officeDocument/2006/relationships/hyperlink" Target="https://www.linkedin.com/in/david-cullinane-17192212/" TargetMode="External"/><Relationship Id="rId90" Type="http://schemas.openxmlformats.org/officeDocument/2006/relationships/hyperlink" Target="https://www.linkedin.com/in/barbara-ann-carey/" TargetMode="External"/><Relationship Id="rId91" Type="http://schemas.openxmlformats.org/officeDocument/2006/relationships/hyperlink" Target="https://www.linkedin.com/in/katherine0kim/" TargetMode="External"/><Relationship Id="rId92" Type="http://schemas.openxmlformats.org/officeDocument/2006/relationships/hyperlink" Target="https://www.linkedin.com/in/anna-friedman-b1706612/" TargetMode="External"/><Relationship Id="rId93" Type="http://schemas.openxmlformats.org/officeDocument/2006/relationships/hyperlink" Target="https://www.linkedin.com/in/allison-davis-dpt/" TargetMode="External"/><Relationship Id="rId94" Type="http://schemas.openxmlformats.org/officeDocument/2006/relationships/hyperlink" Target="https://www.linkedin.com/in/randi-sundby-539448133/" TargetMode="External"/><Relationship Id="rId95" Type="http://schemas.openxmlformats.org/officeDocument/2006/relationships/hyperlink" Target="https://www.linkedin.com/in/caitlin-wesen-543795192/" TargetMode="External"/><Relationship Id="rId96" Type="http://schemas.openxmlformats.org/officeDocument/2006/relationships/hyperlink" Target="https://www.linkedin.com/in/kerry-degaetani-90a89a69/" TargetMode="External"/><Relationship Id="rId97" Type="http://schemas.openxmlformats.org/officeDocument/2006/relationships/hyperlink" Target="https://www.linkedin.com/in/erik-norwood-74980b115/" TargetMode="External"/><Relationship Id="rId98" Type="http://schemas.openxmlformats.org/officeDocument/2006/relationships/hyperlink" Target="https://www.linkedin.com/in/eli-zygmuntowicz-a3021111a/" TargetMode="External"/><Relationship Id="rId99" Type="http://schemas.openxmlformats.org/officeDocument/2006/relationships/hyperlink" Target="https://www.linkedin.com/in/jody-dexter-orthopedic-physical-therapist-west-seattle-washington/" TargetMode="External"/><Relationship Id="rId100" Type="http://schemas.openxmlformats.org/officeDocument/2006/relationships/hyperlink" Target="https://www.linkedin.com/in/ashley-smith-dpt-comt-cscs-ci-12b481125/" TargetMode="External"/><Relationship Id="rId101" Type="http://schemas.openxmlformats.org/officeDocument/2006/relationships/hyperlink" Target="https://www.linkedin.com/in/andrew-holloway-dpt-ocs-cscs-a84700a3/" TargetMode="External"/><Relationship Id="rId102" Type="http://schemas.openxmlformats.org/officeDocument/2006/relationships/hyperlink" Target="https://www.linkedin.com/in/sarah-anderson-dpt-ocs-mtc-faaompt-8a11b333/" TargetMode="External"/><Relationship Id="rId103" Type="http://schemas.openxmlformats.org/officeDocument/2006/relationships/hyperlink" Target="https://www.linkedin.com/in/dptdrew/" TargetMode="External"/><Relationship Id="rId104" Type="http://schemas.openxmlformats.org/officeDocument/2006/relationships/hyperlink" Target="https://www.linkedin.com/in/bayleylaketa/" TargetMode="External"/><Relationship Id="rId105" Type="http://schemas.openxmlformats.org/officeDocument/2006/relationships/hyperlink" Target="https://www.linkedin.com/in/mark-dutton-534869a1/" TargetMode="External"/><Relationship Id="rId106" Type="http://schemas.openxmlformats.org/officeDocument/2006/relationships/hyperlink" Target="https://www.linkedin.com/in/amber-scouller-pt-dpt-comt-b8027173/" TargetMode="External"/><Relationship Id="rId107" Type="http://schemas.openxmlformats.org/officeDocument/2006/relationships/hyperlink" Target="https://www.linkedin.com/in/christine-pieton-dpt-mba-88a27345/" TargetMode="External"/><Relationship Id="rId108" Type="http://schemas.openxmlformats.org/officeDocument/2006/relationships/hyperlink" Target="https://www.linkedin.com/in/phillip-higgins-pt-dpt-scs-942bb766/" TargetMode="External"/><Relationship Id="rId109" Type="http://schemas.openxmlformats.org/officeDocument/2006/relationships/hyperlink" Target="https://www.linkedin.com/in/carrie-hall-9962807/" TargetMode="External"/><Relationship Id="rId110" Type="http://schemas.openxmlformats.org/officeDocument/2006/relationships/hyperlink" Target="https://www.linkedin.com/in/megan-thomas-dpt/" TargetMode="External"/><Relationship Id="rId111" Type="http://schemas.openxmlformats.org/officeDocument/2006/relationships/hyperlink" Target="https://www.linkedin.com/in/nancy-bywater-johnson-84143543/" TargetMode="External"/><Relationship Id="rId112" Type="http://schemas.openxmlformats.org/officeDocument/2006/relationships/hyperlink" Target="https://www.linkedin.com/in/drjarodcarter/" TargetMode="External"/><Relationship Id="rId113" Type="http://schemas.openxmlformats.org/officeDocument/2006/relationships/hyperlink" Target="https://www.linkedin.com/in/susie-loberfeld-65291245/" TargetMode="External"/><Relationship Id="rId114" Type="http://schemas.openxmlformats.org/officeDocument/2006/relationships/hyperlink" Target="https://www.linkedin.com/in/alexa-hill-pt-dpt-ocs-44662a161/" TargetMode="External"/><Relationship Id="rId115" Type="http://schemas.openxmlformats.org/officeDocument/2006/relationships/hyperlink" Target="https://www.linkedin.com/in/frank-garza-89789344/" TargetMode="External"/><Relationship Id="rId116" Type="http://schemas.openxmlformats.org/officeDocument/2006/relationships/hyperlink" Target="https://www.reddit.com/user/AHaydenL" TargetMode="External"/><Relationship Id="rId117" Type="http://schemas.openxmlformats.org/officeDocument/2006/relationships/hyperlink" Target="https://www.reddit.com/r/whitecoatinvestor/comments/1tqnjiq/getting_hospitals_to_work_with_you_as_an_s_corp/" TargetMode="External"/><Relationship Id="rId118" Type="http://schemas.openxmlformats.org/officeDocument/2006/relationships/hyperlink" Target="https://www.reddit.com/user/Alterdoc" TargetMode="External"/><Relationship Id="rId119" Type="http://schemas.openxmlformats.org/officeDocument/2006/relationships/hyperlink" Target="https://www.reddit.com/r/DirectPrimaryCare/comments/135vin4/starting_dpc_while_working_another_job/" TargetMode="External"/><Relationship Id="rId120" Type="http://schemas.openxmlformats.org/officeDocument/2006/relationships/hyperlink" Target="https://www.reddit.com/user/SSRIplease" TargetMode="External"/><Relationship Id="rId121" Type="http://schemas.openxmlformats.org/officeDocument/2006/relationships/hyperlink" Target="https://www.reddit.com/r/DirectPrimaryCare/comments/135vin4/starting_dpc_while_working_another_job/" TargetMode="External"/><Relationship Id="rId122" Type="http://schemas.openxmlformats.org/officeDocument/2006/relationships/hyperlink" Target="https://www.reddit.com/user/Ok_Respect4534" TargetMode="External"/><Relationship Id="rId123" Type="http://schemas.openxmlformats.org/officeDocument/2006/relationships/hyperlink" Target="https://www.reddit.com/r/whitecoatinvestor/comments/1t6b6va/discouraged_as_a_primary_care_physician/" TargetMode="External"/><Relationship Id="rId124" Type="http://schemas.openxmlformats.org/officeDocument/2006/relationships/hyperlink" Target="https://www.reddit.com/user/jrpg8255" TargetMode="External"/><Relationship Id="rId125" Type="http://schemas.openxmlformats.org/officeDocument/2006/relationships/hyperlink" Target="https://www.reddit.com/r/medicine/comments/1tbfevj/banner_health_punishes_family_medicine_physician/" TargetMode="External"/><Relationship Id="rId126" Type="http://schemas.openxmlformats.org/officeDocument/2006/relationships/hyperlink" Target="https://www.reddit.com/user/Trying-sanity" TargetMode="External"/><Relationship Id="rId127" Type="http://schemas.openxmlformats.org/officeDocument/2006/relationships/hyperlink" Target="https://www.reddit.com/r/DirectPrimaryCare/comments/135vin4/starting_dpc_while_working_another_job/" TargetMode="External"/><Relationship Id="rId128" Type="http://schemas.openxmlformats.org/officeDocument/2006/relationships/hyperlink" Target="https://www.reddit.com/user/Farnk20" TargetMode="External"/><Relationship Id="rId129" Type="http://schemas.openxmlformats.org/officeDocument/2006/relationships/hyperlink" Target="https://www.reddit.com/r/whitecoatinvestor/comments/1t6b6va/discouraged_as_a_primary_care_physician/" TargetMode="External"/><Relationship Id="rId130" Type="http://schemas.openxmlformats.org/officeDocument/2006/relationships/hyperlink" Target="https://www.reddit.com/user/Gorfang" TargetMode="External"/><Relationship Id="rId131" Type="http://schemas.openxmlformats.org/officeDocument/2006/relationships/hyperlink" Target="https://www.reddit.com/r/whitecoatinvestor/comments/1t6b6va/discouraged_as_a_primary_care_physician/" TargetMode="External"/><Relationship Id="rId132" Type="http://schemas.openxmlformats.org/officeDocument/2006/relationships/hyperlink" Target="https://www.reddit.com/user/CactusSkies" TargetMode="External"/><Relationship Id="rId133" Type="http://schemas.openxmlformats.org/officeDocument/2006/relationships/hyperlink" Target="https://www.reddit.com/r/whitecoatinvestor/comments/1t6b6va/discouraged_as_a_primary_care_physician/" TargetMode="External"/><Relationship Id="rId134" Type="http://schemas.openxmlformats.org/officeDocument/2006/relationships/hyperlink" Target="https://www.reddit.com/user/gamergeek987" TargetMode="External"/><Relationship Id="rId135" Type="http://schemas.openxmlformats.org/officeDocument/2006/relationships/hyperlink" Target="https://www.reddit.com/r/whitecoatinvestor/comments/1t6b6va/discouraged_as_a_primary_care_physici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864"/>
  </sheetPr>
  <dimension ref="B1:D24"/>
  <sheetViews>
    <sheetView workbookViewId="0" showGridLines="0"/>
  </sheetViews>
  <sheetFormatPr defaultRowHeight="15" outlineLevelRow="0" outlineLevelCol="0" x14ac:dyDescent="55"/>
  <cols>
    <col min="1" max="1" width="4" customWidth="1"/>
    <col min="2" max="2" width="34" customWidth="1"/>
    <col min="3" max="3" width="16" customWidth="1"/>
    <col min="4" max="4" width="64" customWidth="1"/>
  </cols>
  <sheetData>
    <row r="1" spans="2:4" x14ac:dyDescent="0.25">
      <c r="B1" s="1" t="s">
        <v>0</v>
      </c>
      <c r="C1" s="1"/>
      <c r="D1" s="1"/>
    </row>
    <row r="2" spans="2:4" x14ac:dyDescent="0.25">
      <c r="B2" s="2" t="s">
        <v>1</v>
      </c>
      <c r="C2" s="2"/>
      <c r="D2" s="2"/>
    </row>
    <row r="4" spans="2:2" x14ac:dyDescent="0.25">
      <c r="B4" s="3" t="s">
        <v>2</v>
      </c>
    </row>
    <row r="5" ht="20" customHeight="1" spans="2:4" x14ac:dyDescent="0.25">
      <c r="B5" s="4" t="s">
        <v>3</v>
      </c>
      <c r="C5" s="4" t="s">
        <v>4</v>
      </c>
      <c r="D5" s="4" t="s">
        <v>5</v>
      </c>
    </row>
    <row r="6" spans="2:4" x14ac:dyDescent="0.25">
      <c r="B6" s="5" t="s">
        <v>6</v>
      </c>
      <c r="C6" s="6" t="s">
        <v>7</v>
      </c>
      <c r="D6" s="7" t="s">
        <v>8</v>
      </c>
    </row>
    <row r="7" spans="2:4" x14ac:dyDescent="0.25">
      <c r="B7" s="5" t="s">
        <v>9</v>
      </c>
      <c r="C7" s="8" t="s">
        <v>10</v>
      </c>
      <c r="D7" s="7" t="s">
        <v>11</v>
      </c>
    </row>
    <row r="8" spans="2:4" x14ac:dyDescent="0.25">
      <c r="B8" s="5" t="s">
        <v>12</v>
      </c>
      <c r="C8" s="6" t="s">
        <v>7</v>
      </c>
      <c r="D8" s="7" t="s">
        <v>13</v>
      </c>
    </row>
    <row r="9" spans="2:4" x14ac:dyDescent="0.25">
      <c r="B9" s="5" t="s">
        <v>14</v>
      </c>
      <c r="C9" s="6" t="s">
        <v>7</v>
      </c>
      <c r="D9" s="7" t="s">
        <v>15</v>
      </c>
    </row>
    <row r="10" spans="2:4" x14ac:dyDescent="0.25">
      <c r="B10" s="5" t="s">
        <v>16</v>
      </c>
      <c r="C10" s="6" t="s">
        <v>7</v>
      </c>
      <c r="D10" s="7" t="s">
        <v>17</v>
      </c>
    </row>
    <row r="11" spans="2:4" x14ac:dyDescent="0.25">
      <c r="B11" s="5" t="s">
        <v>18</v>
      </c>
      <c r="C11" s="6" t="s">
        <v>7</v>
      </c>
      <c r="D11" s="7" t="s">
        <v>19</v>
      </c>
    </row>
    <row r="12" spans="2:4" x14ac:dyDescent="0.25">
      <c r="B12" s="5" t="s">
        <v>20</v>
      </c>
      <c r="C12" s="6" t="s">
        <v>7</v>
      </c>
      <c r="D12" s="7" t="s">
        <v>21</v>
      </c>
    </row>
    <row r="14" spans="2:2" x14ac:dyDescent="0.25">
      <c r="B14" s="3" t="s">
        <v>22</v>
      </c>
    </row>
    <row r="15" spans="2:3" x14ac:dyDescent="0.25">
      <c r="B15" s="9" t="s">
        <v>23</v>
      </c>
      <c r="C15" s="10">
        <f>COUNTA('All Prospects'!B2:B500)</f>
        <v>85</v>
      </c>
    </row>
    <row r="16" spans="2:3" x14ac:dyDescent="0.25">
      <c r="B16" s="9" t="s">
        <v>24</v>
      </c>
      <c r="C16" s="10">
        <f>COUNTA(Interviews!B2:B200)</f>
        <v>5</v>
      </c>
    </row>
    <row r="17" spans="2:3" x14ac:dyDescent="0.25">
      <c r="B17" s="9" t="s">
        <v>25</v>
      </c>
      <c r="C17" s="10">
        <f>COUNTA('Active Pipeline'!B5:B14)+COUNTA('Active Pipeline'!B17:B26)</f>
        <v>20</v>
      </c>
    </row>
    <row r="18" spans="2:3" x14ac:dyDescent="0.25">
      <c r="B18" s="9" t="s">
        <v>26</v>
      </c>
      <c r="C18" s="10">
        <f>COUNTIF('All Prospects'!I2:I500,"Not contacted")</f>
        <v>85</v>
      </c>
    </row>
    <row r="20" spans="2:2" x14ac:dyDescent="0.25">
      <c r="B20" s="11" t="s">
        <v>27</v>
      </c>
    </row>
    <row r="21" spans="2:4" x14ac:dyDescent="0.25">
      <c r="B21" s="12" t="s">
        <v>28</v>
      </c>
      <c r="D21" s="13" t="s">
        <v>29</v>
      </c>
    </row>
    <row r="22" spans="2:4" x14ac:dyDescent="0.25">
      <c r="B22" s="12" t="s">
        <v>30</v>
      </c>
      <c r="D22" s="13" t="s">
        <v>31</v>
      </c>
    </row>
    <row r="23" spans="2:4" x14ac:dyDescent="0.25">
      <c r="B23" s="12" t="s">
        <v>32</v>
      </c>
      <c r="D23" s="13" t="s">
        <v>33</v>
      </c>
    </row>
    <row r="24" spans="2:4" x14ac:dyDescent="0.25">
      <c r="B24" s="12" t="s">
        <v>34</v>
      </c>
      <c r="D24" s="13" t="s">
        <v>35</v>
      </c>
    </row>
  </sheetData>
  <mergeCells count="2">
    <mergeCell ref="B1:D1"/>
    <mergeCell ref="B2:D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55A11"/>
  </sheetPr>
  <dimension ref="B1:J20"/>
  <sheetViews>
    <sheetView workbookViewId="0" showGridLines="0"/>
  </sheetViews>
  <sheetFormatPr defaultRowHeight="15" outlineLevelRow="0" outlineLevelCol="0" x14ac:dyDescent="55"/>
  <cols>
    <col min="1" max="1" width="4" customWidth="1"/>
    <col min="2" max="2" width="22" customWidth="1"/>
    <col min="3" max="4" width="13" customWidth="1"/>
    <col min="5" max="9" width="12" customWidth="1"/>
    <col min="10" max="10" width="44" customWidth="1"/>
  </cols>
  <sheetData>
    <row r="1" spans="2:10" x14ac:dyDescent="0.25">
      <c r="B1" s="1" t="s">
        <v>36</v>
      </c>
      <c r="C1" s="1"/>
      <c r="D1" s="1"/>
      <c r="E1" s="1"/>
      <c r="F1" s="1"/>
      <c r="G1" s="1"/>
      <c r="H1" s="1"/>
      <c r="I1" s="1"/>
      <c r="J1" s="1"/>
    </row>
    <row r="2" spans="2:10" x14ac:dyDescent="0.25">
      <c r="B2" s="2" t="s">
        <v>37</v>
      </c>
      <c r="C2" s="2"/>
      <c r="D2" s="2"/>
      <c r="E2" s="2"/>
      <c r="F2" s="2"/>
      <c r="G2" s="2"/>
      <c r="H2" s="2"/>
      <c r="I2" s="2"/>
      <c r="J2" s="2"/>
    </row>
    <row r="4" spans="2:2" x14ac:dyDescent="0.25">
      <c r="B4" s="3" t="s">
        <v>38</v>
      </c>
    </row>
    <row r="5" ht="18" customHeight="1" spans="2:10" x14ac:dyDescent="0.25">
      <c r="B5" s="14" t="s">
        <v>39</v>
      </c>
      <c r="C5" s="14" t="s">
        <v>40</v>
      </c>
      <c r="D5" s="14" t="s">
        <v>41</v>
      </c>
      <c r="E5" s="15" t="s">
        <v>42</v>
      </c>
      <c r="F5" s="15"/>
      <c r="G5" s="15"/>
      <c r="H5" s="15"/>
      <c r="I5" s="15"/>
      <c r="J5" s="15"/>
    </row>
    <row r="6" spans="2:10" x14ac:dyDescent="0.25">
      <c r="B6" s="16" t="s">
        <v>43</v>
      </c>
      <c r="C6" s="17">
        <v>85</v>
      </c>
      <c r="D6" s="18" t="s">
        <v>44</v>
      </c>
      <c r="E6" s="19" t="s">
        <v>45</v>
      </c>
      <c r="F6" s="19"/>
      <c r="G6" s="19"/>
      <c r="H6" s="19"/>
      <c r="I6" s="19"/>
      <c r="J6" s="19"/>
    </row>
    <row r="7" spans="2:10" x14ac:dyDescent="0.25">
      <c r="B7" s="16" t="s">
        <v>46</v>
      </c>
      <c r="C7" s="20">
        <v>8</v>
      </c>
      <c r="D7" s="18">
        <f>=C7/C6</f>
        <v>0.09411764705882353</v>
      </c>
      <c r="E7" s="19" t="s">
        <v>47</v>
      </c>
      <c r="F7" s="19"/>
      <c r="G7" s="19"/>
      <c r="H7" s="19"/>
      <c r="I7" s="19"/>
      <c r="J7" s="19"/>
    </row>
    <row r="8" spans="2:10" x14ac:dyDescent="0.25">
      <c r="B8" s="16" t="s">
        <v>48</v>
      </c>
      <c r="C8" s="21">
        <v>0</v>
      </c>
      <c r="D8" s="18">
        <f>=IFERROR(C8/C7,0)</f>
        <v>0</v>
      </c>
      <c r="E8" s="19" t="s">
        <v>49</v>
      </c>
      <c r="F8" s="19"/>
      <c r="G8" s="19"/>
      <c r="H8" s="19"/>
      <c r="I8" s="19"/>
      <c r="J8" s="19"/>
    </row>
    <row r="9" spans="2:10" x14ac:dyDescent="0.25">
      <c r="B9" s="16" t="s">
        <v>50</v>
      </c>
      <c r="C9" s="22">
        <v>5</v>
      </c>
      <c r="D9" s="18" t="s">
        <v>44</v>
      </c>
      <c r="E9" s="19" t="s">
        <v>51</v>
      </c>
      <c r="F9" s="19"/>
      <c r="G9" s="19"/>
      <c r="H9" s="19"/>
      <c r="I9" s="19"/>
      <c r="J9" s="19"/>
    </row>
    <row r="10" spans="2:10" x14ac:dyDescent="0.25">
      <c r="B10" s="16" t="s">
        <v>52</v>
      </c>
      <c r="C10" s="22">
        <v>1</v>
      </c>
      <c r="D10" s="18" t="s">
        <v>44</v>
      </c>
      <c r="E10" s="19" t="s">
        <v>53</v>
      </c>
      <c r="F10" s="19"/>
      <c r="G10" s="19"/>
      <c r="H10" s="19"/>
      <c r="I10" s="19"/>
      <c r="J10" s="19"/>
    </row>
    <row r="12" spans="2:2" x14ac:dyDescent="0.25">
      <c r="B12" s="3" t="s">
        <v>54</v>
      </c>
    </row>
    <row r="13" ht="30" customHeight="1" spans="2:10" x14ac:dyDescent="0.25">
      <c r="B13" s="23" t="s">
        <v>55</v>
      </c>
      <c r="C13" s="23" t="s">
        <v>56</v>
      </c>
      <c r="D13" s="23" t="s">
        <v>57</v>
      </c>
      <c r="E13" s="23" t="s">
        <v>58</v>
      </c>
      <c r="F13" s="23" t="s">
        <v>59</v>
      </c>
      <c r="G13" s="23" t="s">
        <v>60</v>
      </c>
      <c r="H13" s="23" t="s">
        <v>61</v>
      </c>
      <c r="I13" s="23" t="s">
        <v>62</v>
      </c>
      <c r="J13" s="23" t="s">
        <v>42</v>
      </c>
    </row>
    <row r="14" spans="2:10" x14ac:dyDescent="0.25">
      <c r="B14" s="24" t="s">
        <v>63</v>
      </c>
      <c r="C14" s="25">
        <v>8</v>
      </c>
      <c r="D14" s="25">
        <f>=C14</f>
        <v>8</v>
      </c>
      <c r="E14" s="25">
        <v>0</v>
      </c>
      <c r="F14" s="25">
        <f>=E14</f>
        <v>0</v>
      </c>
      <c r="G14" s="25">
        <v>5</v>
      </c>
      <c r="H14" s="25">
        <v>1</v>
      </c>
      <c r="I14" s="26">
        <f>=IFERROR(F14/D14,0)</f>
        <v>0</v>
      </c>
      <c r="J14" s="27" t="s">
        <v>64</v>
      </c>
    </row>
    <row r="15" spans="2:10" x14ac:dyDescent="0.25">
      <c r="B15" s="24" t="s">
        <v>65</v>
      </c>
      <c r="C15" s="28"/>
      <c r="D15" s="28">
        <f>=D14+C15</f>
        <v>8</v>
      </c>
      <c r="E15" s="28"/>
      <c r="F15" s="28">
        <f>=F14+E15</f>
        <v>0</v>
      </c>
      <c r="G15" s="28"/>
      <c r="H15" s="28"/>
      <c r="I15" s="26">
        <f>=IFERROR(F15/D15,0)</f>
        <v>0</v>
      </c>
      <c r="J15" s="27" t="s">
        <v>66</v>
      </c>
    </row>
    <row r="16" spans="2:10" x14ac:dyDescent="0.25">
      <c r="B16" s="24" t="s">
        <v>67</v>
      </c>
      <c r="C16" s="28"/>
      <c r="D16" s="28">
        <f>=D15+C16</f>
        <v>8</v>
      </c>
      <c r="E16" s="28"/>
      <c r="F16" s="28">
        <f>=F15+E16</f>
        <v>0</v>
      </c>
      <c r="G16" s="28"/>
      <c r="H16" s="28"/>
      <c r="I16" s="26">
        <f>=IFERROR(F16/D16,0)</f>
        <v>0</v>
      </c>
      <c r="J16" s="27" t="s">
        <v>66</v>
      </c>
    </row>
    <row r="17" spans="2:10" x14ac:dyDescent="0.25">
      <c r="B17" s="24" t="s">
        <v>68</v>
      </c>
      <c r="C17" s="28"/>
      <c r="D17" s="28">
        <f>=D16+C17</f>
        <v>8</v>
      </c>
      <c r="E17" s="28"/>
      <c r="F17" s="28">
        <f>=F16+E17</f>
        <v>0</v>
      </c>
      <c r="G17" s="28"/>
      <c r="H17" s="28"/>
      <c r="I17" s="26">
        <f>=IFERROR(F17/D17,0)</f>
        <v>0</v>
      </c>
      <c r="J17" s="27" t="s">
        <v>66</v>
      </c>
    </row>
    <row r="18" spans="2:10" x14ac:dyDescent="0.25">
      <c r="B18" s="24" t="s">
        <v>69</v>
      </c>
      <c r="C18" s="28"/>
      <c r="D18" s="28">
        <f>=D17+C18</f>
        <v>8</v>
      </c>
      <c r="E18" s="28"/>
      <c r="F18" s="28">
        <f>=F17+E18</f>
        <v>0</v>
      </c>
      <c r="G18" s="28"/>
      <c r="H18" s="28"/>
      <c r="I18" s="26">
        <f>=IFERROR(F18/D18,0)</f>
        <v>0</v>
      </c>
      <c r="J18" s="27" t="s">
        <v>66</v>
      </c>
    </row>
    <row r="19" spans="2:10" x14ac:dyDescent="0.25">
      <c r="B19" s="24" t="s">
        <v>70</v>
      </c>
      <c r="C19" s="28"/>
      <c r="D19" s="28">
        <f>=D18+C19</f>
        <v>8</v>
      </c>
      <c r="E19" s="28"/>
      <c r="F19" s="28">
        <f>=F18+E19</f>
        <v>0</v>
      </c>
      <c r="G19" s="28"/>
      <c r="H19" s="28"/>
      <c r="I19" s="26">
        <f>=IFERROR(F19/D19,0)</f>
        <v>0</v>
      </c>
      <c r="J19" s="27" t="s">
        <v>66</v>
      </c>
    </row>
    <row r="20" spans="2:10" x14ac:dyDescent="0.25">
      <c r="B20" s="24" t="s">
        <v>71</v>
      </c>
      <c r="C20" s="28"/>
      <c r="D20" s="28">
        <f>=D19+C20</f>
        <v>8</v>
      </c>
      <c r="E20" s="28"/>
      <c r="F20" s="28">
        <f>=F19+E20</f>
        <v>0</v>
      </c>
      <c r="G20" s="28"/>
      <c r="H20" s="28"/>
      <c r="I20" s="26">
        <f>=IFERROR(F20/D20,0)</f>
        <v>0</v>
      </c>
      <c r="J20" s="27" t="s">
        <v>72</v>
      </c>
    </row>
  </sheetData>
  <mergeCells count="8">
    <mergeCell ref="B1:J1"/>
    <mergeCell ref="B2:J2"/>
    <mergeCell ref="E5:J5"/>
    <mergeCell ref="E6:J6"/>
    <mergeCell ref="E7:J7"/>
    <mergeCell ref="E8:J8"/>
    <mergeCell ref="E9:J9"/>
    <mergeCell ref="E10:J10"/>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8235"/>
  </sheetPr>
  <dimension ref="A1:K6"/>
  <sheetViews>
    <sheetView workbookViewId="0">
      <pane ySplit="1" topLeftCell="A2" activePane="bottomLeft" state="frozen"/>
      <selection pane="bottomLeft"/>
    </sheetView>
  </sheetViews>
  <sheetFormatPr defaultRowHeight="15" outlineLevelRow="0" outlineLevelCol="0" x14ac:dyDescent="55"/>
  <cols>
    <col min="1" max="1" width="4" customWidth="1"/>
    <col min="2" max="3" width="22" customWidth="1"/>
    <col min="4" max="4" width="14" customWidth="1"/>
    <col min="6" max="6" width="18" customWidth="1"/>
    <col min="7" max="7" width="22" customWidth="1"/>
    <col min="8" max="9" width="30" customWidth="1"/>
    <col min="10" max="10" width="70" customWidth="1"/>
    <col min="11" max="11" width="40" customWidth="1"/>
  </cols>
  <sheetData>
    <row r="1" ht="30" customHeight="1" spans="1:11" x14ac:dyDescent="0.25">
      <c r="A1" s="29" t="s">
        <v>73</v>
      </c>
      <c r="B1" s="29" t="s">
        <v>74</v>
      </c>
      <c r="C1" s="29" t="s">
        <v>75</v>
      </c>
      <c r="D1" s="29" t="s">
        <v>76</v>
      </c>
      <c r="E1" s="29" t="s">
        <v>77</v>
      </c>
      <c r="F1" s="29" t="s">
        <v>78</v>
      </c>
      <c r="G1" s="29" t="s">
        <v>79</v>
      </c>
      <c r="H1" s="29" t="s">
        <v>80</v>
      </c>
      <c r="I1" s="29" t="s">
        <v>81</v>
      </c>
      <c r="J1" s="29" t="s">
        <v>82</v>
      </c>
      <c r="K1" s="29" t="s">
        <v>83</v>
      </c>
    </row>
    <row r="2" spans="1:11" x14ac:dyDescent="0.25">
      <c r="A2" s="30">
        <v>1</v>
      </c>
      <c r="B2" s="31" t="s">
        <v>84</v>
      </c>
      <c r="C2" s="30" t="s">
        <v>85</v>
      </c>
      <c r="D2" s="30" t="s">
        <v>86</v>
      </c>
      <c r="E2" s="30">
        <v>2</v>
      </c>
      <c r="F2" s="30" t="s">
        <v>87</v>
      </c>
      <c r="G2" s="32" t="s">
        <v>88</v>
      </c>
      <c r="H2" s="30" t="s">
        <v>89</v>
      </c>
      <c r="I2" s="30" t="s">
        <v>90</v>
      </c>
      <c r="J2" s="30" t="s">
        <v>91</v>
      </c>
      <c r="K2" s="30" t="s">
        <v>92</v>
      </c>
    </row>
    <row r="3" spans="1:11" x14ac:dyDescent="0.25">
      <c r="A3" s="30">
        <v>2</v>
      </c>
      <c r="B3" s="31" t="s">
        <v>93</v>
      </c>
      <c r="C3" s="30" t="s">
        <v>94</v>
      </c>
      <c r="D3" s="30" t="s">
        <v>95</v>
      </c>
      <c r="E3" s="30">
        <v>1</v>
      </c>
      <c r="F3" s="30" t="s">
        <v>96</v>
      </c>
      <c r="G3" s="32" t="s">
        <v>97</v>
      </c>
      <c r="H3" s="30" t="s">
        <v>98</v>
      </c>
      <c r="I3" s="30" t="s">
        <v>99</v>
      </c>
      <c r="J3" s="30" t="s">
        <v>100</v>
      </c>
      <c r="K3" s="30" t="s">
        <v>101</v>
      </c>
    </row>
    <row r="4" spans="1:11" x14ac:dyDescent="0.25">
      <c r="A4" s="30">
        <v>3</v>
      </c>
      <c r="B4" s="31" t="s">
        <v>102</v>
      </c>
      <c r="C4" s="30" t="s">
        <v>103</v>
      </c>
      <c r="D4" s="30" t="s">
        <v>104</v>
      </c>
      <c r="E4" s="30">
        <v>1</v>
      </c>
      <c r="F4" s="30" t="s">
        <v>105</v>
      </c>
      <c r="G4" s="33" t="s">
        <v>106</v>
      </c>
      <c r="H4" s="30" t="s">
        <v>107</v>
      </c>
      <c r="I4" s="30" t="s">
        <v>108</v>
      </c>
      <c r="J4" s="30" t="s">
        <v>109</v>
      </c>
      <c r="K4" s="30" t="s">
        <v>110</v>
      </c>
    </row>
    <row r="5" spans="1:11" x14ac:dyDescent="0.25">
      <c r="A5" s="30">
        <v>4</v>
      </c>
      <c r="B5" s="31" t="s">
        <v>111</v>
      </c>
      <c r="C5" s="30" t="s">
        <v>112</v>
      </c>
      <c r="D5" s="30" t="s">
        <v>113</v>
      </c>
      <c r="E5" s="30">
        <v>1</v>
      </c>
      <c r="F5" s="30" t="s">
        <v>114</v>
      </c>
      <c r="G5" s="34" t="s">
        <v>115</v>
      </c>
      <c r="H5" s="30" t="s">
        <v>116</v>
      </c>
      <c r="I5" s="30" t="s">
        <v>44</v>
      </c>
      <c r="J5" s="30" t="s">
        <v>117</v>
      </c>
      <c r="K5" s="30" t="s">
        <v>118</v>
      </c>
    </row>
    <row r="6" spans="1:11" x14ac:dyDescent="0.25">
      <c r="A6" s="30">
        <v>5</v>
      </c>
      <c r="B6" s="31" t="s">
        <v>119</v>
      </c>
      <c r="C6" s="30" t="s">
        <v>120</v>
      </c>
      <c r="D6" s="30" t="s">
        <v>121</v>
      </c>
      <c r="E6" s="30">
        <v>1</v>
      </c>
      <c r="F6" s="30" t="s">
        <v>122</v>
      </c>
      <c r="G6" s="34" t="s">
        <v>123</v>
      </c>
      <c r="H6" s="30" t="s">
        <v>124</v>
      </c>
      <c r="I6" s="30" t="s">
        <v>44</v>
      </c>
      <c r="J6" s="30" t="s">
        <v>125</v>
      </c>
      <c r="K6" s="30" t="s">
        <v>126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8F00"/>
  </sheetPr>
  <dimension ref="A1:H30"/>
  <sheetViews>
    <sheetView workbookViewId="0">
      <pane ySplit="4" topLeftCell="A5" activePane="bottomLeft" state="frozen"/>
      <selection pane="bottomLeft"/>
    </sheetView>
  </sheetViews>
  <sheetFormatPr defaultRowHeight="15" outlineLevelRow="0" outlineLevelCol="0" x14ac:dyDescent="55"/>
  <cols>
    <col min="1" max="1" width="4" customWidth="1"/>
    <col min="2" max="2" width="22" customWidth="1"/>
    <col min="3" max="3" width="26" customWidth="1"/>
    <col min="4" max="4" width="22" customWidth="1"/>
    <col min="5" max="5" width="24" customWidth="1"/>
    <col min="6" max="6" width="12" customWidth="1"/>
    <col min="7" max="7" width="40" customWidth="1"/>
    <col min="8" max="8" width="10" customWidth="1"/>
  </cols>
  <sheetData>
    <row r="1" spans="2:8" x14ac:dyDescent="0.25">
      <c r="B1" s="35" t="s">
        <v>127</v>
      </c>
      <c r="C1" s="35"/>
      <c r="D1" s="35"/>
      <c r="E1" s="35"/>
      <c r="F1" s="35"/>
      <c r="G1" s="35"/>
      <c r="H1" s="35"/>
    </row>
    <row r="2" spans="2:8" x14ac:dyDescent="0.25">
      <c r="B2" s="36" t="s">
        <v>128</v>
      </c>
      <c r="C2" s="36"/>
      <c r="D2" s="36"/>
      <c r="E2" s="36"/>
      <c r="F2" s="36"/>
      <c r="G2" s="36"/>
      <c r="H2" s="36"/>
    </row>
    <row r="4" ht="30" customHeight="1" spans="1:8" x14ac:dyDescent="0.25">
      <c r="A4" s="29" t="s">
        <v>73</v>
      </c>
      <c r="B4" s="29" t="s">
        <v>74</v>
      </c>
      <c r="C4" s="29" t="s">
        <v>129</v>
      </c>
      <c r="D4" s="29" t="s">
        <v>130</v>
      </c>
      <c r="E4" s="29" t="s">
        <v>39</v>
      </c>
      <c r="F4" s="29" t="s">
        <v>131</v>
      </c>
      <c r="G4" s="29" t="s">
        <v>132</v>
      </c>
      <c r="H4" s="29" t="s">
        <v>133</v>
      </c>
    </row>
    <row r="5" spans="1:8" x14ac:dyDescent="0.25">
      <c r="A5" s="30" t="s">
        <v>134</v>
      </c>
      <c r="B5" s="31" t="s">
        <v>84</v>
      </c>
      <c r="C5" s="30" t="s">
        <v>135</v>
      </c>
      <c r="D5" s="30" t="s">
        <v>136</v>
      </c>
      <c r="E5" s="32" t="s">
        <v>137</v>
      </c>
      <c r="F5" s="30" t="s">
        <v>138</v>
      </c>
      <c r="G5" s="30" t="s">
        <v>139</v>
      </c>
      <c r="H5" s="30" t="s">
        <v>140</v>
      </c>
    </row>
    <row r="6" spans="1:8" x14ac:dyDescent="0.25">
      <c r="A6" s="30" t="s">
        <v>141</v>
      </c>
      <c r="B6" s="31" t="s">
        <v>142</v>
      </c>
      <c r="C6" s="30" t="s">
        <v>143</v>
      </c>
      <c r="D6" s="30" t="s">
        <v>144</v>
      </c>
      <c r="E6" s="33" t="s">
        <v>145</v>
      </c>
      <c r="F6" s="30" t="s">
        <v>138</v>
      </c>
      <c r="G6" s="30" t="s">
        <v>146</v>
      </c>
      <c r="H6" s="30" t="s">
        <v>147</v>
      </c>
    </row>
    <row r="7" spans="1:8" x14ac:dyDescent="0.25">
      <c r="A7" s="30" t="s">
        <v>148</v>
      </c>
      <c r="B7" s="31" t="s">
        <v>149</v>
      </c>
      <c r="C7" s="30" t="s">
        <v>150</v>
      </c>
      <c r="D7" s="30" t="s">
        <v>144</v>
      </c>
      <c r="E7" s="33" t="s">
        <v>145</v>
      </c>
      <c r="F7" s="30" t="s">
        <v>138</v>
      </c>
      <c r="G7" s="30" t="s">
        <v>146</v>
      </c>
      <c r="H7" s="30" t="s">
        <v>147</v>
      </c>
    </row>
    <row r="8" spans="1:8" x14ac:dyDescent="0.25">
      <c r="A8" s="30" t="s">
        <v>151</v>
      </c>
      <c r="B8" s="31" t="s">
        <v>102</v>
      </c>
      <c r="C8" s="30" t="s">
        <v>152</v>
      </c>
      <c r="D8" s="30" t="s">
        <v>136</v>
      </c>
      <c r="E8" s="33" t="s">
        <v>153</v>
      </c>
      <c r="F8" s="30" t="s">
        <v>154</v>
      </c>
      <c r="G8" s="30" t="s">
        <v>155</v>
      </c>
      <c r="H8" s="30" t="s">
        <v>156</v>
      </c>
    </row>
    <row r="9" spans="1:8" x14ac:dyDescent="0.25">
      <c r="A9" s="30" t="s">
        <v>157</v>
      </c>
      <c r="B9" s="31" t="s">
        <v>158</v>
      </c>
      <c r="C9" s="30" t="s">
        <v>159</v>
      </c>
      <c r="D9" s="30" t="s">
        <v>160</v>
      </c>
      <c r="E9" s="37" t="s">
        <v>161</v>
      </c>
      <c r="F9" s="30" t="s">
        <v>44</v>
      </c>
      <c r="G9" s="30" t="s">
        <v>162</v>
      </c>
      <c r="H9" s="30" t="s">
        <v>163</v>
      </c>
    </row>
    <row r="10" spans="1:8" x14ac:dyDescent="0.25">
      <c r="A10" s="30" t="s">
        <v>164</v>
      </c>
      <c r="B10" s="31" t="s">
        <v>165</v>
      </c>
      <c r="C10" s="30" t="s">
        <v>166</v>
      </c>
      <c r="D10" s="30" t="s">
        <v>167</v>
      </c>
      <c r="E10" s="37" t="s">
        <v>161</v>
      </c>
      <c r="F10" s="30" t="s">
        <v>44</v>
      </c>
      <c r="G10" s="30" t="s">
        <v>168</v>
      </c>
      <c r="H10" s="30" t="s">
        <v>169</v>
      </c>
    </row>
    <row r="11" spans="1:8" x14ac:dyDescent="0.25">
      <c r="A11" s="30" t="s">
        <v>170</v>
      </c>
      <c r="B11" s="31" t="s">
        <v>171</v>
      </c>
      <c r="C11" s="30" t="s">
        <v>172</v>
      </c>
      <c r="D11" s="30" t="s">
        <v>173</v>
      </c>
      <c r="E11" s="33" t="s">
        <v>174</v>
      </c>
      <c r="F11" s="30" t="s">
        <v>175</v>
      </c>
      <c r="G11" s="30" t="s">
        <v>176</v>
      </c>
      <c r="H11" s="30" t="s">
        <v>147</v>
      </c>
    </row>
    <row r="12" spans="1:8" x14ac:dyDescent="0.25">
      <c r="A12" s="30" t="s">
        <v>177</v>
      </c>
      <c r="B12" s="31" t="s">
        <v>178</v>
      </c>
      <c r="C12" s="30" t="s">
        <v>172</v>
      </c>
      <c r="D12" s="30" t="s">
        <v>173</v>
      </c>
      <c r="E12" s="33" t="s">
        <v>174</v>
      </c>
      <c r="F12" s="30" t="s">
        <v>175</v>
      </c>
      <c r="G12" s="30" t="s">
        <v>176</v>
      </c>
      <c r="H12" s="30" t="s">
        <v>147</v>
      </c>
    </row>
    <row r="13" spans="1:8" x14ac:dyDescent="0.25">
      <c r="A13" s="30" t="s">
        <v>179</v>
      </c>
      <c r="B13" s="31" t="s">
        <v>180</v>
      </c>
      <c r="C13" s="30" t="s">
        <v>181</v>
      </c>
      <c r="D13" s="30" t="s">
        <v>182</v>
      </c>
      <c r="E13" s="37" t="s">
        <v>161</v>
      </c>
      <c r="F13" s="30" t="s">
        <v>44</v>
      </c>
      <c r="G13" s="30" t="s">
        <v>183</v>
      </c>
      <c r="H13" s="30" t="s">
        <v>184</v>
      </c>
    </row>
    <row r="14" spans="1:8" x14ac:dyDescent="0.25">
      <c r="A14" s="30" t="s">
        <v>185</v>
      </c>
      <c r="B14" s="31" t="s">
        <v>186</v>
      </c>
      <c r="C14" s="30" t="s">
        <v>181</v>
      </c>
      <c r="D14" s="30" t="s">
        <v>182</v>
      </c>
      <c r="E14" s="37" t="s">
        <v>161</v>
      </c>
      <c r="F14" s="30" t="s">
        <v>44</v>
      </c>
      <c r="G14" s="30" t="s">
        <v>183</v>
      </c>
      <c r="H14" s="30" t="s">
        <v>184</v>
      </c>
    </row>
    <row r="16" ht="20" customHeight="1" spans="1:8" x14ac:dyDescent="0.25">
      <c r="A16" t="s">
        <v>66</v>
      </c>
      <c r="B16" s="38" t="s">
        <v>187</v>
      </c>
      <c r="C16" s="38"/>
      <c r="D16" s="38"/>
      <c r="E16" s="38"/>
      <c r="F16" s="38"/>
      <c r="G16" s="38"/>
      <c r="H16" s="38"/>
    </row>
    <row r="17" spans="1:8" x14ac:dyDescent="0.25">
      <c r="A17" s="30">
        <v>11</v>
      </c>
      <c r="B17" s="31" t="s">
        <v>188</v>
      </c>
      <c r="C17" s="30" t="s">
        <v>189</v>
      </c>
      <c r="D17" s="30" t="s">
        <v>190</v>
      </c>
      <c r="E17" s="37" t="s">
        <v>191</v>
      </c>
      <c r="F17" s="30" t="s">
        <v>44</v>
      </c>
      <c r="G17" s="30" t="s">
        <v>192</v>
      </c>
      <c r="H17" s="30" t="s">
        <v>65</v>
      </c>
    </row>
    <row r="18" spans="1:8" x14ac:dyDescent="0.25">
      <c r="A18" s="30">
        <v>12</v>
      </c>
      <c r="B18" s="31" t="s">
        <v>193</v>
      </c>
      <c r="C18" s="30" t="s">
        <v>194</v>
      </c>
      <c r="D18" s="30" t="s">
        <v>190</v>
      </c>
      <c r="E18" s="37" t="s">
        <v>191</v>
      </c>
      <c r="F18" s="30" t="s">
        <v>44</v>
      </c>
      <c r="G18" s="30" t="s">
        <v>192</v>
      </c>
      <c r="H18" s="30" t="s">
        <v>65</v>
      </c>
    </row>
    <row r="19" spans="1:8" x14ac:dyDescent="0.25">
      <c r="A19" s="30">
        <v>13</v>
      </c>
      <c r="B19" s="31" t="s">
        <v>195</v>
      </c>
      <c r="C19" s="30" t="s">
        <v>196</v>
      </c>
      <c r="D19" s="30" t="s">
        <v>190</v>
      </c>
      <c r="E19" s="37" t="s">
        <v>191</v>
      </c>
      <c r="F19" s="30" t="s">
        <v>44</v>
      </c>
      <c r="G19" s="30" t="s">
        <v>192</v>
      </c>
      <c r="H19" s="30" t="s">
        <v>65</v>
      </c>
    </row>
    <row r="20" spans="1:8" x14ac:dyDescent="0.25">
      <c r="A20" s="30">
        <v>14</v>
      </c>
      <c r="B20" s="31" t="s">
        <v>197</v>
      </c>
      <c r="C20" s="30" t="s">
        <v>198</v>
      </c>
      <c r="D20" s="30" t="s">
        <v>190</v>
      </c>
      <c r="E20" s="37" t="s">
        <v>191</v>
      </c>
      <c r="F20" s="30" t="s">
        <v>44</v>
      </c>
      <c r="G20" s="30" t="s">
        <v>192</v>
      </c>
      <c r="H20" s="30" t="s">
        <v>65</v>
      </c>
    </row>
    <row r="21" spans="1:8" x14ac:dyDescent="0.25">
      <c r="A21" s="30">
        <v>15</v>
      </c>
      <c r="B21" s="31" t="s">
        <v>199</v>
      </c>
      <c r="C21" s="30" t="s">
        <v>200</v>
      </c>
      <c r="D21" s="30" t="s">
        <v>190</v>
      </c>
      <c r="E21" s="37" t="s">
        <v>191</v>
      </c>
      <c r="F21" s="30" t="s">
        <v>44</v>
      </c>
      <c r="G21" s="30" t="s">
        <v>192</v>
      </c>
      <c r="H21" s="30" t="s">
        <v>65</v>
      </c>
    </row>
    <row r="22" spans="1:8" x14ac:dyDescent="0.25">
      <c r="A22" s="30">
        <v>16</v>
      </c>
      <c r="B22" s="31" t="s">
        <v>201</v>
      </c>
      <c r="C22" s="30" t="s">
        <v>202</v>
      </c>
      <c r="D22" s="30" t="s">
        <v>190</v>
      </c>
      <c r="E22" s="37" t="s">
        <v>191</v>
      </c>
      <c r="F22" s="30" t="s">
        <v>44</v>
      </c>
      <c r="G22" s="30" t="s">
        <v>192</v>
      </c>
      <c r="H22" s="30" t="s">
        <v>65</v>
      </c>
    </row>
    <row r="23" spans="1:8" x14ac:dyDescent="0.25">
      <c r="A23" s="30">
        <v>17</v>
      </c>
      <c r="B23" s="31" t="s">
        <v>203</v>
      </c>
      <c r="C23" s="30" t="s">
        <v>204</v>
      </c>
      <c r="D23" s="30" t="s">
        <v>190</v>
      </c>
      <c r="E23" s="37" t="s">
        <v>191</v>
      </c>
      <c r="F23" s="30" t="s">
        <v>44</v>
      </c>
      <c r="G23" s="30" t="s">
        <v>192</v>
      </c>
      <c r="H23" s="30" t="s">
        <v>65</v>
      </c>
    </row>
    <row r="24" spans="1:8" x14ac:dyDescent="0.25">
      <c r="A24" s="30">
        <v>18</v>
      </c>
      <c r="B24" s="31" t="s">
        <v>205</v>
      </c>
      <c r="C24" s="30" t="s">
        <v>206</v>
      </c>
      <c r="D24" s="30" t="s">
        <v>190</v>
      </c>
      <c r="E24" s="37" t="s">
        <v>191</v>
      </c>
      <c r="F24" s="30" t="s">
        <v>44</v>
      </c>
      <c r="G24" s="30" t="s">
        <v>192</v>
      </c>
      <c r="H24" s="30" t="s">
        <v>65</v>
      </c>
    </row>
    <row r="25" spans="1:8" x14ac:dyDescent="0.25">
      <c r="A25" s="30">
        <v>19</v>
      </c>
      <c r="B25" s="31" t="s">
        <v>207</v>
      </c>
      <c r="C25" s="30" t="s">
        <v>208</v>
      </c>
      <c r="D25" s="30" t="s">
        <v>190</v>
      </c>
      <c r="E25" s="37" t="s">
        <v>191</v>
      </c>
      <c r="F25" s="30" t="s">
        <v>44</v>
      </c>
      <c r="G25" s="30" t="s">
        <v>192</v>
      </c>
      <c r="H25" s="30" t="s">
        <v>65</v>
      </c>
    </row>
    <row r="26" spans="1:8" x14ac:dyDescent="0.25">
      <c r="A26" s="30">
        <v>20</v>
      </c>
      <c r="B26" s="31" t="s">
        <v>209</v>
      </c>
      <c r="C26" s="30" t="s">
        <v>210</v>
      </c>
      <c r="D26" s="30" t="s">
        <v>190</v>
      </c>
      <c r="E26" s="37" t="s">
        <v>191</v>
      </c>
      <c r="F26" s="30" t="s">
        <v>44</v>
      </c>
      <c r="G26" s="30" t="s">
        <v>192</v>
      </c>
      <c r="H26" s="30" t="s">
        <v>65</v>
      </c>
    </row>
    <row r="28" spans="1:4" x14ac:dyDescent="0.25">
      <c r="A28" t="s">
        <v>66</v>
      </c>
      <c r="B28" s="39" t="s">
        <v>211</v>
      </c>
      <c r="C28" s="39" t="s">
        <v>212</v>
      </c>
      <c r="D28" s="39" t="s">
        <v>213</v>
      </c>
    </row>
    <row r="29" spans="1:4" x14ac:dyDescent="0.25">
      <c r="A29" t="s">
        <v>66</v>
      </c>
      <c r="B29" s="16" t="s">
        <v>111</v>
      </c>
      <c r="C29" s="13" t="s">
        <v>214</v>
      </c>
      <c r="D29" s="9" t="s">
        <v>154</v>
      </c>
    </row>
    <row r="30" spans="1:4" x14ac:dyDescent="0.25">
      <c r="A30" t="s">
        <v>66</v>
      </c>
      <c r="B30" s="16" t="s">
        <v>119</v>
      </c>
      <c r="C30" s="13" t="s">
        <v>215</v>
      </c>
      <c r="D30" s="9" t="s">
        <v>216</v>
      </c>
    </row>
  </sheetData>
  <mergeCells count="3">
    <mergeCell ref="B1:H1"/>
    <mergeCell ref="B2:H2"/>
    <mergeCell ref="B16:H16"/>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E5496"/>
  </sheetPr>
  <dimension ref="A1:N86"/>
  <sheetViews>
    <sheetView workbookViewId="0">
      <pane xSplit="2" ySplit="1" topLeftCell="C2" activePane="bottomRight" state="frozen"/>
      <selection pane="bottomRight"/>
    </sheetView>
  </sheetViews>
  <sheetFormatPr defaultRowHeight="15" outlineLevelRow="0" outlineLevelCol="0" x14ac:dyDescent="55"/>
  <cols>
    <col min="1" max="1" width="4" customWidth="1"/>
    <col min="2" max="2" width="24" customWidth="1"/>
    <col min="3" max="3" width="10" customWidth="1"/>
    <col min="4" max="4" width="18" customWidth="1"/>
    <col min="5" max="5" width="30" customWidth="1"/>
    <col min="6" max="6" width="18" customWidth="1"/>
    <col min="7" max="7" width="7" customWidth="1"/>
    <col min="8" max="9" width="16" customWidth="1"/>
    <col min="10" max="10" width="26" customWidth="1"/>
    <col min="11" max="11" width="55" customWidth="1"/>
    <col min="12" max="13" width="38" customWidth="1"/>
    <col min="14" max="14" width="55" customWidth="1"/>
  </cols>
  <sheetData>
    <row r="1" ht="30" customHeight="1" spans="1:14" x14ac:dyDescent="0.25">
      <c r="A1" s="29" t="s">
        <v>73</v>
      </c>
      <c r="B1" s="29" t="s">
        <v>74</v>
      </c>
      <c r="C1" s="29" t="s">
        <v>217</v>
      </c>
      <c r="D1" s="29" t="s">
        <v>218</v>
      </c>
      <c r="E1" s="29" t="s">
        <v>219</v>
      </c>
      <c r="F1" s="29" t="s">
        <v>76</v>
      </c>
      <c r="G1" s="29" t="s">
        <v>220</v>
      </c>
      <c r="H1" s="29" t="s">
        <v>79</v>
      </c>
      <c r="I1" s="29" t="s">
        <v>4</v>
      </c>
      <c r="J1" s="29" t="s">
        <v>221</v>
      </c>
      <c r="K1" s="29" t="s">
        <v>222</v>
      </c>
      <c r="L1" s="29" t="s">
        <v>223</v>
      </c>
      <c r="M1" s="29" t="s">
        <v>224</v>
      </c>
      <c r="N1" s="29" t="s">
        <v>42</v>
      </c>
    </row>
    <row r="2" spans="1:14" x14ac:dyDescent="0.25">
      <c r="A2" s="27">
        <v>1</v>
      </c>
      <c r="B2" s="40" t="s">
        <v>225</v>
      </c>
      <c r="C2" s="27" t="s">
        <v>226</v>
      </c>
      <c r="D2" s="27" t="s">
        <v>227</v>
      </c>
      <c r="E2" s="27" t="s">
        <v>228</v>
      </c>
      <c r="F2" s="27" t="s">
        <v>229</v>
      </c>
      <c r="G2" s="41">
        <v>9</v>
      </c>
      <c r="H2" s="27" t="s">
        <v>66</v>
      </c>
      <c r="I2" s="27" t="s">
        <v>230</v>
      </c>
      <c r="J2" s="27" t="s">
        <v>231</v>
      </c>
      <c r="K2" s="27" t="s">
        <v>66</v>
      </c>
      <c r="L2" s="42" t="s">
        <v>232</v>
      </c>
      <c r="M2" s="42" t="s">
        <v>232</v>
      </c>
      <c r="N2" s="27" t="s">
        <v>233</v>
      </c>
    </row>
    <row r="3" spans="1:14" x14ac:dyDescent="0.25">
      <c r="A3" s="27">
        <v>2</v>
      </c>
      <c r="B3" s="40" t="s">
        <v>234</v>
      </c>
      <c r="C3" s="27" t="s">
        <v>226</v>
      </c>
      <c r="D3" s="27" t="s">
        <v>227</v>
      </c>
      <c r="E3" s="27" t="s">
        <v>235</v>
      </c>
      <c r="F3" s="27" t="s">
        <v>229</v>
      </c>
      <c r="G3" s="41">
        <v>9</v>
      </c>
      <c r="H3" s="27" t="s">
        <v>66</v>
      </c>
      <c r="I3" s="27" t="s">
        <v>230</v>
      </c>
      <c r="J3" s="27" t="s">
        <v>231</v>
      </c>
      <c r="K3" s="27" t="s">
        <v>66</v>
      </c>
      <c r="L3" s="42" t="s">
        <v>236</v>
      </c>
      <c r="M3" s="42" t="s">
        <v>236</v>
      </c>
      <c r="N3" s="27" t="s">
        <v>237</v>
      </c>
    </row>
    <row r="4" spans="1:14" x14ac:dyDescent="0.25">
      <c r="A4" s="27">
        <v>3</v>
      </c>
      <c r="B4" s="40" t="s">
        <v>171</v>
      </c>
      <c r="C4" s="27" t="s">
        <v>238</v>
      </c>
      <c r="D4" s="27" t="s">
        <v>227</v>
      </c>
      <c r="E4" s="27" t="s">
        <v>239</v>
      </c>
      <c r="F4" s="27" t="s">
        <v>240</v>
      </c>
      <c r="G4" s="41">
        <v>9</v>
      </c>
      <c r="H4" s="27" t="s">
        <v>66</v>
      </c>
      <c r="I4" s="27" t="s">
        <v>230</v>
      </c>
      <c r="J4" s="27" t="s">
        <v>231</v>
      </c>
      <c r="K4" s="27" t="s">
        <v>241</v>
      </c>
      <c r="L4" s="42" t="s">
        <v>242</v>
      </c>
      <c r="M4" s="42" t="s">
        <v>243</v>
      </c>
      <c r="N4" s="27" t="s">
        <v>244</v>
      </c>
    </row>
    <row r="5" spans="1:14" x14ac:dyDescent="0.25">
      <c r="A5" s="27">
        <v>4</v>
      </c>
      <c r="B5" s="40" t="s">
        <v>178</v>
      </c>
      <c r="C5" s="27" t="s">
        <v>238</v>
      </c>
      <c r="D5" s="27" t="s">
        <v>227</v>
      </c>
      <c r="E5" s="27" t="s">
        <v>239</v>
      </c>
      <c r="F5" s="27" t="s">
        <v>240</v>
      </c>
      <c r="G5" s="41">
        <v>9</v>
      </c>
      <c r="H5" s="27" t="s">
        <v>66</v>
      </c>
      <c r="I5" s="27" t="s">
        <v>230</v>
      </c>
      <c r="J5" s="27" t="s">
        <v>231</v>
      </c>
      <c r="K5" s="27" t="s">
        <v>245</v>
      </c>
      <c r="L5" s="42" t="s">
        <v>246</v>
      </c>
      <c r="M5" s="42" t="s">
        <v>247</v>
      </c>
      <c r="N5" s="27" t="s">
        <v>248</v>
      </c>
    </row>
    <row r="6" spans="1:14" x14ac:dyDescent="0.25">
      <c r="A6" s="27">
        <v>5</v>
      </c>
      <c r="B6" s="40" t="s">
        <v>249</v>
      </c>
      <c r="C6" s="27" t="s">
        <v>238</v>
      </c>
      <c r="D6" s="27" t="s">
        <v>94</v>
      </c>
      <c r="E6" s="27" t="s">
        <v>250</v>
      </c>
      <c r="F6" s="27" t="s">
        <v>240</v>
      </c>
      <c r="G6" s="41">
        <v>9</v>
      </c>
      <c r="H6" s="27" t="s">
        <v>66</v>
      </c>
      <c r="I6" s="27" t="s">
        <v>230</v>
      </c>
      <c r="J6" s="27" t="s">
        <v>231</v>
      </c>
      <c r="K6" s="27" t="s">
        <v>251</v>
      </c>
      <c r="L6" s="42" t="s">
        <v>252</v>
      </c>
      <c r="M6" s="42" t="s">
        <v>253</v>
      </c>
      <c r="N6" s="27" t="s">
        <v>254</v>
      </c>
    </row>
    <row r="7" spans="1:14" x14ac:dyDescent="0.25">
      <c r="A7" s="27">
        <v>6</v>
      </c>
      <c r="B7" s="40" t="s">
        <v>255</v>
      </c>
      <c r="C7" s="27" t="s">
        <v>226</v>
      </c>
      <c r="D7" s="27" t="s">
        <v>94</v>
      </c>
      <c r="E7" s="27" t="s">
        <v>256</v>
      </c>
      <c r="F7" s="27" t="s">
        <v>229</v>
      </c>
      <c r="G7" s="41">
        <v>9</v>
      </c>
      <c r="H7" s="27" t="s">
        <v>66</v>
      </c>
      <c r="I7" s="27" t="s">
        <v>230</v>
      </c>
      <c r="J7" s="27" t="s">
        <v>231</v>
      </c>
      <c r="K7" s="27" t="s">
        <v>66</v>
      </c>
      <c r="L7" s="42" t="s">
        <v>257</v>
      </c>
      <c r="M7" s="42" t="s">
        <v>258</v>
      </c>
      <c r="N7" s="27" t="s">
        <v>259</v>
      </c>
    </row>
    <row r="8" spans="1:14" x14ac:dyDescent="0.25">
      <c r="A8" s="27">
        <v>7</v>
      </c>
      <c r="B8" s="40" t="s">
        <v>260</v>
      </c>
      <c r="C8" s="27" t="s">
        <v>226</v>
      </c>
      <c r="D8" s="27" t="s">
        <v>94</v>
      </c>
      <c r="E8" s="27" t="s">
        <v>261</v>
      </c>
      <c r="F8" s="27" t="s">
        <v>262</v>
      </c>
      <c r="G8" s="41">
        <v>9</v>
      </c>
      <c r="H8" s="27" t="s">
        <v>66</v>
      </c>
      <c r="I8" s="27" t="s">
        <v>230</v>
      </c>
      <c r="J8" s="27" t="s">
        <v>231</v>
      </c>
      <c r="K8" s="27" t="s">
        <v>66</v>
      </c>
      <c r="L8" s="42" t="s">
        <v>263</v>
      </c>
      <c r="M8" s="42" t="s">
        <v>263</v>
      </c>
      <c r="N8" s="27" t="s">
        <v>264</v>
      </c>
    </row>
    <row r="9" spans="1:14" x14ac:dyDescent="0.25">
      <c r="A9" s="27">
        <v>8</v>
      </c>
      <c r="B9" s="40" t="s">
        <v>265</v>
      </c>
      <c r="C9" s="27" t="s">
        <v>226</v>
      </c>
      <c r="D9" s="27" t="s">
        <v>94</v>
      </c>
      <c r="E9" s="27" t="s">
        <v>266</v>
      </c>
      <c r="F9" s="27" t="s">
        <v>229</v>
      </c>
      <c r="G9" s="41">
        <v>9</v>
      </c>
      <c r="H9" s="27" t="s">
        <v>66</v>
      </c>
      <c r="I9" s="27" t="s">
        <v>230</v>
      </c>
      <c r="J9" s="27" t="s">
        <v>231</v>
      </c>
      <c r="K9" s="27" t="s">
        <v>66</v>
      </c>
      <c r="L9" s="42" t="s">
        <v>267</v>
      </c>
      <c r="M9" s="42" t="s">
        <v>267</v>
      </c>
      <c r="N9" s="27" t="s">
        <v>268</v>
      </c>
    </row>
    <row r="10" spans="1:14" x14ac:dyDescent="0.25">
      <c r="A10" s="27">
        <v>9</v>
      </c>
      <c r="B10" s="40" t="s">
        <v>269</v>
      </c>
      <c r="C10" s="27" t="s">
        <v>238</v>
      </c>
      <c r="D10" s="27" t="s">
        <v>227</v>
      </c>
      <c r="E10" s="27" t="s">
        <v>239</v>
      </c>
      <c r="F10" s="27" t="s">
        <v>240</v>
      </c>
      <c r="G10" s="43">
        <v>8</v>
      </c>
      <c r="H10" s="27" t="s">
        <v>66</v>
      </c>
      <c r="I10" s="27" t="s">
        <v>230</v>
      </c>
      <c r="J10" s="27" t="s">
        <v>231</v>
      </c>
      <c r="K10" s="27" t="s">
        <v>270</v>
      </c>
      <c r="L10" s="42" t="s">
        <v>271</v>
      </c>
      <c r="M10" s="42" t="s">
        <v>247</v>
      </c>
      <c r="N10" s="27" t="s">
        <v>272</v>
      </c>
    </row>
    <row r="11" spans="1:14" x14ac:dyDescent="0.25">
      <c r="A11" s="27">
        <v>10</v>
      </c>
      <c r="B11" s="40" t="s">
        <v>273</v>
      </c>
      <c r="C11" s="27" t="s">
        <v>238</v>
      </c>
      <c r="D11" s="27" t="s">
        <v>94</v>
      </c>
      <c r="E11" s="27" t="s">
        <v>250</v>
      </c>
      <c r="F11" s="27" t="s">
        <v>240</v>
      </c>
      <c r="G11" s="43">
        <v>8</v>
      </c>
      <c r="H11" s="27" t="s">
        <v>66</v>
      </c>
      <c r="I11" s="27" t="s">
        <v>230</v>
      </c>
      <c r="J11" s="27" t="s">
        <v>231</v>
      </c>
      <c r="K11" s="27" t="s">
        <v>274</v>
      </c>
      <c r="L11" s="42" t="s">
        <v>275</v>
      </c>
      <c r="M11" s="42" t="s">
        <v>276</v>
      </c>
      <c r="N11" s="27" t="s">
        <v>277</v>
      </c>
    </row>
    <row r="12" spans="1:14" x14ac:dyDescent="0.25">
      <c r="A12" s="27">
        <v>11</v>
      </c>
      <c r="B12" s="40" t="s">
        <v>278</v>
      </c>
      <c r="C12" s="27" t="s">
        <v>238</v>
      </c>
      <c r="D12" s="27" t="s">
        <v>94</v>
      </c>
      <c r="E12" s="27" t="s">
        <v>279</v>
      </c>
      <c r="F12" s="27" t="s">
        <v>240</v>
      </c>
      <c r="G12" s="43">
        <v>8</v>
      </c>
      <c r="H12" s="27" t="s">
        <v>66</v>
      </c>
      <c r="I12" s="27" t="s">
        <v>230</v>
      </c>
      <c r="J12" s="27" t="s">
        <v>231</v>
      </c>
      <c r="K12" s="27" t="s">
        <v>280</v>
      </c>
      <c r="L12" s="42" t="s">
        <v>281</v>
      </c>
      <c r="M12" s="42" t="s">
        <v>253</v>
      </c>
      <c r="N12" s="27" t="s">
        <v>282</v>
      </c>
    </row>
    <row r="13" spans="1:14" x14ac:dyDescent="0.25">
      <c r="A13" s="27">
        <v>12</v>
      </c>
      <c r="B13" s="40" t="s">
        <v>283</v>
      </c>
      <c r="C13" s="27" t="s">
        <v>238</v>
      </c>
      <c r="D13" s="27" t="s">
        <v>94</v>
      </c>
      <c r="E13" s="27" t="s">
        <v>284</v>
      </c>
      <c r="F13" s="27" t="s">
        <v>240</v>
      </c>
      <c r="G13" s="43">
        <v>8</v>
      </c>
      <c r="H13" s="27" t="s">
        <v>66</v>
      </c>
      <c r="I13" s="27" t="s">
        <v>230</v>
      </c>
      <c r="J13" s="27" t="s">
        <v>231</v>
      </c>
      <c r="K13" s="27" t="s">
        <v>285</v>
      </c>
      <c r="L13" s="42" t="s">
        <v>286</v>
      </c>
      <c r="M13" s="42" t="s">
        <v>253</v>
      </c>
      <c r="N13" s="27" t="s">
        <v>287</v>
      </c>
    </row>
    <row r="14" spans="1:14" x14ac:dyDescent="0.25">
      <c r="A14" s="27">
        <v>13</v>
      </c>
      <c r="B14" s="40" t="s">
        <v>288</v>
      </c>
      <c r="C14" s="27" t="s">
        <v>226</v>
      </c>
      <c r="D14" s="27" t="s">
        <v>227</v>
      </c>
      <c r="E14" s="27" t="s">
        <v>289</v>
      </c>
      <c r="F14" s="27" t="s">
        <v>229</v>
      </c>
      <c r="G14" s="43">
        <v>8</v>
      </c>
      <c r="H14" s="27" t="s">
        <v>66</v>
      </c>
      <c r="I14" s="27" t="s">
        <v>230</v>
      </c>
      <c r="J14" s="27" t="s">
        <v>231</v>
      </c>
      <c r="K14" s="27" t="s">
        <v>66</v>
      </c>
      <c r="L14" s="42" t="s">
        <v>290</v>
      </c>
      <c r="M14" s="42" t="s">
        <v>290</v>
      </c>
      <c r="N14" s="27" t="s">
        <v>291</v>
      </c>
    </row>
    <row r="15" spans="1:14" x14ac:dyDescent="0.25">
      <c r="A15" s="27">
        <v>14</v>
      </c>
      <c r="B15" s="40" t="s">
        <v>292</v>
      </c>
      <c r="C15" s="27" t="s">
        <v>226</v>
      </c>
      <c r="D15" s="27" t="s">
        <v>94</v>
      </c>
      <c r="E15" s="27" t="s">
        <v>293</v>
      </c>
      <c r="F15" s="27" t="s">
        <v>229</v>
      </c>
      <c r="G15" s="43">
        <v>8</v>
      </c>
      <c r="H15" s="27" t="s">
        <v>66</v>
      </c>
      <c r="I15" s="27" t="s">
        <v>230</v>
      </c>
      <c r="J15" s="27" t="s">
        <v>231</v>
      </c>
      <c r="K15" s="27" t="s">
        <v>66</v>
      </c>
      <c r="L15" s="42" t="s">
        <v>294</v>
      </c>
      <c r="M15" s="42" t="s">
        <v>294</v>
      </c>
      <c r="N15" s="27" t="s">
        <v>295</v>
      </c>
    </row>
    <row r="16" spans="1:14" x14ac:dyDescent="0.25">
      <c r="A16" s="27">
        <v>15</v>
      </c>
      <c r="B16" s="40" t="s">
        <v>296</v>
      </c>
      <c r="C16" s="27" t="s">
        <v>238</v>
      </c>
      <c r="D16" s="27" t="s">
        <v>227</v>
      </c>
      <c r="E16" s="27" t="s">
        <v>239</v>
      </c>
      <c r="F16" s="27" t="s">
        <v>240</v>
      </c>
      <c r="G16" s="43">
        <v>7</v>
      </c>
      <c r="H16" s="27" t="s">
        <v>66</v>
      </c>
      <c r="I16" s="27" t="s">
        <v>230</v>
      </c>
      <c r="J16" s="27" t="s">
        <v>231</v>
      </c>
      <c r="K16" s="27" t="s">
        <v>297</v>
      </c>
      <c r="L16" s="42" t="s">
        <v>298</v>
      </c>
      <c r="M16" s="42" t="s">
        <v>299</v>
      </c>
      <c r="N16" s="27" t="s">
        <v>300</v>
      </c>
    </row>
    <row r="17" spans="1:14" x14ac:dyDescent="0.25">
      <c r="A17" s="27">
        <v>16</v>
      </c>
      <c r="B17" s="40" t="s">
        <v>301</v>
      </c>
      <c r="C17" s="27" t="s">
        <v>238</v>
      </c>
      <c r="D17" s="27" t="s">
        <v>227</v>
      </c>
      <c r="E17" s="27" t="s">
        <v>239</v>
      </c>
      <c r="F17" s="27" t="s">
        <v>240</v>
      </c>
      <c r="G17" s="43">
        <v>7</v>
      </c>
      <c r="H17" s="27" t="s">
        <v>66</v>
      </c>
      <c r="I17" s="27" t="s">
        <v>230</v>
      </c>
      <c r="J17" s="27" t="s">
        <v>231</v>
      </c>
      <c r="K17" s="27" t="s">
        <v>302</v>
      </c>
      <c r="L17" s="42" t="s">
        <v>303</v>
      </c>
      <c r="M17" s="42" t="s">
        <v>304</v>
      </c>
      <c r="N17" s="27" t="s">
        <v>305</v>
      </c>
    </row>
    <row r="18" spans="1:14" x14ac:dyDescent="0.25">
      <c r="A18" s="27">
        <v>17</v>
      </c>
      <c r="B18" s="40" t="s">
        <v>306</v>
      </c>
      <c r="C18" s="27" t="s">
        <v>238</v>
      </c>
      <c r="D18" s="27" t="s">
        <v>227</v>
      </c>
      <c r="E18" s="27" t="s">
        <v>239</v>
      </c>
      <c r="F18" s="27" t="s">
        <v>240</v>
      </c>
      <c r="G18" s="43">
        <v>7</v>
      </c>
      <c r="H18" s="27" t="s">
        <v>66</v>
      </c>
      <c r="I18" s="27" t="s">
        <v>230</v>
      </c>
      <c r="J18" s="27" t="s">
        <v>231</v>
      </c>
      <c r="K18" s="27" t="s">
        <v>307</v>
      </c>
      <c r="L18" s="42" t="s">
        <v>308</v>
      </c>
      <c r="M18" s="42" t="s">
        <v>304</v>
      </c>
      <c r="N18" s="27" t="s">
        <v>309</v>
      </c>
    </row>
    <row r="19" spans="1:14" x14ac:dyDescent="0.25">
      <c r="A19" s="27">
        <v>18</v>
      </c>
      <c r="B19" s="40" t="s">
        <v>310</v>
      </c>
      <c r="C19" s="27" t="s">
        <v>238</v>
      </c>
      <c r="D19" s="27" t="s">
        <v>227</v>
      </c>
      <c r="E19" s="27" t="s">
        <v>239</v>
      </c>
      <c r="F19" s="27" t="s">
        <v>240</v>
      </c>
      <c r="G19" s="43">
        <v>7</v>
      </c>
      <c r="H19" s="27" t="s">
        <v>66</v>
      </c>
      <c r="I19" s="27" t="s">
        <v>230</v>
      </c>
      <c r="J19" s="27" t="s">
        <v>231</v>
      </c>
      <c r="K19" s="27" t="s">
        <v>311</v>
      </c>
      <c r="L19" s="42" t="s">
        <v>312</v>
      </c>
      <c r="M19" s="42" t="s">
        <v>243</v>
      </c>
      <c r="N19" s="27" t="s">
        <v>313</v>
      </c>
    </row>
    <row r="20" spans="1:14" x14ac:dyDescent="0.25">
      <c r="A20" s="27">
        <v>19</v>
      </c>
      <c r="B20" s="40" t="s">
        <v>314</v>
      </c>
      <c r="C20" s="27" t="s">
        <v>238</v>
      </c>
      <c r="D20" s="27" t="s">
        <v>94</v>
      </c>
      <c r="E20" s="27" t="s">
        <v>279</v>
      </c>
      <c r="F20" s="27" t="s">
        <v>240</v>
      </c>
      <c r="G20" s="43">
        <v>7</v>
      </c>
      <c r="H20" s="27" t="s">
        <v>66</v>
      </c>
      <c r="I20" s="27" t="s">
        <v>230</v>
      </c>
      <c r="J20" s="27" t="s">
        <v>231</v>
      </c>
      <c r="K20" s="27" t="s">
        <v>315</v>
      </c>
      <c r="L20" s="42" t="s">
        <v>316</v>
      </c>
      <c r="M20" s="42" t="s">
        <v>317</v>
      </c>
      <c r="N20" s="27" t="s">
        <v>318</v>
      </c>
    </row>
    <row r="21" spans="1:14" x14ac:dyDescent="0.25">
      <c r="A21" s="27">
        <v>20</v>
      </c>
      <c r="B21" s="40" t="s">
        <v>319</v>
      </c>
      <c r="C21" s="27" t="s">
        <v>226</v>
      </c>
      <c r="D21" s="27" t="s">
        <v>94</v>
      </c>
      <c r="E21" s="27" t="s">
        <v>320</v>
      </c>
      <c r="F21" s="27" t="s">
        <v>229</v>
      </c>
      <c r="G21" s="43">
        <v>7</v>
      </c>
      <c r="H21" s="27" t="s">
        <v>66</v>
      </c>
      <c r="I21" s="27" t="s">
        <v>230</v>
      </c>
      <c r="J21" s="27" t="s">
        <v>231</v>
      </c>
      <c r="K21" s="27" t="s">
        <v>66</v>
      </c>
      <c r="L21" s="42" t="s">
        <v>321</v>
      </c>
      <c r="M21" s="42" t="s">
        <v>321</v>
      </c>
      <c r="N21" s="27" t="s">
        <v>322</v>
      </c>
    </row>
    <row r="22" spans="1:14" x14ac:dyDescent="0.25">
      <c r="A22" s="27">
        <v>21</v>
      </c>
      <c r="B22" s="40" t="s">
        <v>323</v>
      </c>
      <c r="C22" s="27" t="s">
        <v>226</v>
      </c>
      <c r="D22" s="27" t="s">
        <v>227</v>
      </c>
      <c r="E22" s="27" t="s">
        <v>324</v>
      </c>
      <c r="F22" s="27" t="s">
        <v>229</v>
      </c>
      <c r="G22" s="43">
        <v>7</v>
      </c>
      <c r="H22" s="27" t="s">
        <v>66</v>
      </c>
      <c r="I22" s="27" t="s">
        <v>230</v>
      </c>
      <c r="J22" s="27" t="s">
        <v>231</v>
      </c>
      <c r="K22" s="27" t="s">
        <v>66</v>
      </c>
      <c r="L22" s="42" t="s">
        <v>325</v>
      </c>
      <c r="M22" s="42" t="s">
        <v>325</v>
      </c>
      <c r="N22" s="27" t="s">
        <v>326</v>
      </c>
    </row>
    <row r="23" spans="1:14" x14ac:dyDescent="0.25">
      <c r="A23" s="27">
        <v>22</v>
      </c>
      <c r="B23" s="40" t="s">
        <v>327</v>
      </c>
      <c r="C23" s="27" t="s">
        <v>226</v>
      </c>
      <c r="D23" s="27" t="s">
        <v>227</v>
      </c>
      <c r="E23" s="27" t="s">
        <v>328</v>
      </c>
      <c r="F23" s="27" t="s">
        <v>229</v>
      </c>
      <c r="G23" s="43">
        <v>7</v>
      </c>
      <c r="H23" s="27" t="s">
        <v>66</v>
      </c>
      <c r="I23" s="27" t="s">
        <v>230</v>
      </c>
      <c r="J23" s="27" t="s">
        <v>231</v>
      </c>
      <c r="K23" s="27" t="s">
        <v>66</v>
      </c>
      <c r="L23" s="42" t="s">
        <v>329</v>
      </c>
      <c r="M23" s="42" t="s">
        <v>329</v>
      </c>
      <c r="N23" s="27" t="s">
        <v>330</v>
      </c>
    </row>
    <row r="24" spans="1:14" x14ac:dyDescent="0.25">
      <c r="A24" s="27">
        <v>23</v>
      </c>
      <c r="B24" s="40" t="s">
        <v>331</v>
      </c>
      <c r="C24" s="27" t="s">
        <v>226</v>
      </c>
      <c r="D24" s="27" t="s">
        <v>227</v>
      </c>
      <c r="E24" s="27" t="s">
        <v>332</v>
      </c>
      <c r="F24" s="27" t="s">
        <v>229</v>
      </c>
      <c r="G24" s="43">
        <v>7</v>
      </c>
      <c r="H24" s="27" t="s">
        <v>66</v>
      </c>
      <c r="I24" s="27" t="s">
        <v>230</v>
      </c>
      <c r="J24" s="27" t="s">
        <v>231</v>
      </c>
      <c r="K24" s="27" t="s">
        <v>66</v>
      </c>
      <c r="L24" s="42" t="s">
        <v>333</v>
      </c>
      <c r="M24" s="42" t="s">
        <v>333</v>
      </c>
      <c r="N24" s="27" t="s">
        <v>334</v>
      </c>
    </row>
    <row r="25" spans="1:14" x14ac:dyDescent="0.25">
      <c r="A25" s="27">
        <v>24</v>
      </c>
      <c r="B25" s="40" t="s">
        <v>335</v>
      </c>
      <c r="C25" s="27" t="s">
        <v>226</v>
      </c>
      <c r="D25" s="27" t="s">
        <v>227</v>
      </c>
      <c r="E25" s="27" t="s">
        <v>324</v>
      </c>
      <c r="F25" s="27" t="s">
        <v>229</v>
      </c>
      <c r="G25" s="43">
        <v>7</v>
      </c>
      <c r="H25" s="27" t="s">
        <v>66</v>
      </c>
      <c r="I25" s="27" t="s">
        <v>230</v>
      </c>
      <c r="J25" s="27" t="s">
        <v>231</v>
      </c>
      <c r="K25" s="27" t="s">
        <v>66</v>
      </c>
      <c r="L25" s="42" t="s">
        <v>336</v>
      </c>
      <c r="M25" s="42" t="s">
        <v>336</v>
      </c>
      <c r="N25" s="27" t="s">
        <v>337</v>
      </c>
    </row>
    <row r="26" spans="1:14" x14ac:dyDescent="0.25">
      <c r="A26" s="27">
        <v>25</v>
      </c>
      <c r="B26" s="40" t="s">
        <v>338</v>
      </c>
      <c r="C26" s="27" t="s">
        <v>226</v>
      </c>
      <c r="D26" s="27" t="s">
        <v>227</v>
      </c>
      <c r="E26" s="27" t="s">
        <v>339</v>
      </c>
      <c r="F26" s="27" t="s">
        <v>229</v>
      </c>
      <c r="G26" s="43">
        <v>7</v>
      </c>
      <c r="H26" s="27" t="s">
        <v>66</v>
      </c>
      <c r="I26" s="27" t="s">
        <v>230</v>
      </c>
      <c r="J26" s="27" t="s">
        <v>231</v>
      </c>
      <c r="K26" s="27" t="s">
        <v>66</v>
      </c>
      <c r="L26" s="42" t="s">
        <v>340</v>
      </c>
      <c r="M26" s="42" t="s">
        <v>340</v>
      </c>
      <c r="N26" s="27" t="s">
        <v>341</v>
      </c>
    </row>
    <row r="27" spans="1:14" x14ac:dyDescent="0.25">
      <c r="A27" s="27">
        <v>26</v>
      </c>
      <c r="B27" s="40" t="s">
        <v>342</v>
      </c>
      <c r="C27" s="27" t="s">
        <v>226</v>
      </c>
      <c r="D27" s="27" t="s">
        <v>227</v>
      </c>
      <c r="E27" s="27" t="s">
        <v>343</v>
      </c>
      <c r="F27" s="27" t="s">
        <v>262</v>
      </c>
      <c r="G27" s="43">
        <v>7</v>
      </c>
      <c r="H27" s="27" t="s">
        <v>66</v>
      </c>
      <c r="I27" s="27" t="s">
        <v>230</v>
      </c>
      <c r="J27" s="27" t="s">
        <v>231</v>
      </c>
      <c r="K27" s="27" t="s">
        <v>66</v>
      </c>
      <c r="L27" s="42" t="s">
        <v>344</v>
      </c>
      <c r="M27" s="42" t="s">
        <v>344</v>
      </c>
      <c r="N27" s="27" t="s">
        <v>345</v>
      </c>
    </row>
    <row r="28" spans="1:14" x14ac:dyDescent="0.25">
      <c r="A28" s="27">
        <v>27</v>
      </c>
      <c r="B28" s="40" t="s">
        <v>346</v>
      </c>
      <c r="C28" s="27" t="s">
        <v>226</v>
      </c>
      <c r="D28" s="27" t="s">
        <v>94</v>
      </c>
      <c r="E28" s="27" t="s">
        <v>347</v>
      </c>
      <c r="F28" s="27" t="s">
        <v>262</v>
      </c>
      <c r="G28" s="43">
        <v>7</v>
      </c>
      <c r="H28" s="27" t="s">
        <v>66</v>
      </c>
      <c r="I28" s="27" t="s">
        <v>230</v>
      </c>
      <c r="J28" s="27" t="s">
        <v>231</v>
      </c>
      <c r="K28" s="27" t="s">
        <v>66</v>
      </c>
      <c r="L28" s="42" t="s">
        <v>348</v>
      </c>
      <c r="M28" s="42" t="s">
        <v>348</v>
      </c>
      <c r="N28" s="27" t="s">
        <v>349</v>
      </c>
    </row>
    <row r="29" spans="1:14" x14ac:dyDescent="0.25">
      <c r="A29" s="27">
        <v>28</v>
      </c>
      <c r="B29" s="40" t="s">
        <v>350</v>
      </c>
      <c r="C29" s="27" t="s">
        <v>226</v>
      </c>
      <c r="D29" s="27" t="s">
        <v>94</v>
      </c>
      <c r="E29" s="27" t="s">
        <v>351</v>
      </c>
      <c r="F29" s="27" t="s">
        <v>229</v>
      </c>
      <c r="G29" s="43">
        <v>7</v>
      </c>
      <c r="H29" s="27" t="s">
        <v>66</v>
      </c>
      <c r="I29" s="27" t="s">
        <v>230</v>
      </c>
      <c r="J29" s="27" t="s">
        <v>231</v>
      </c>
      <c r="K29" s="27" t="s">
        <v>66</v>
      </c>
      <c r="L29" s="42" t="s">
        <v>352</v>
      </c>
      <c r="M29" s="42" t="s">
        <v>352</v>
      </c>
      <c r="N29" s="27" t="s">
        <v>353</v>
      </c>
    </row>
    <row r="30" spans="1:14" x14ac:dyDescent="0.25">
      <c r="A30" s="27">
        <v>29</v>
      </c>
      <c r="B30" s="40" t="s">
        <v>354</v>
      </c>
      <c r="C30" s="27" t="s">
        <v>238</v>
      </c>
      <c r="D30" s="27" t="s">
        <v>227</v>
      </c>
      <c r="E30" s="27" t="s">
        <v>239</v>
      </c>
      <c r="F30" s="27" t="s">
        <v>240</v>
      </c>
      <c r="G30" s="43">
        <v>7</v>
      </c>
      <c r="H30" s="27" t="s">
        <v>66</v>
      </c>
      <c r="I30" s="27" t="s">
        <v>230</v>
      </c>
      <c r="J30" s="27" t="s">
        <v>231</v>
      </c>
      <c r="K30" s="27" t="s">
        <v>355</v>
      </c>
      <c r="L30" s="42" t="s">
        <v>356</v>
      </c>
      <c r="M30" s="42" t="s">
        <v>299</v>
      </c>
      <c r="N30" s="27" t="s">
        <v>357</v>
      </c>
    </row>
    <row r="31" spans="1:14" x14ac:dyDescent="0.25">
      <c r="A31" s="27">
        <v>30</v>
      </c>
      <c r="B31" s="40" t="s">
        <v>358</v>
      </c>
      <c r="C31" s="27" t="s">
        <v>238</v>
      </c>
      <c r="D31" s="27" t="s">
        <v>227</v>
      </c>
      <c r="E31" s="27" t="s">
        <v>239</v>
      </c>
      <c r="F31" s="27" t="s">
        <v>240</v>
      </c>
      <c r="G31" s="44">
        <v>6</v>
      </c>
      <c r="H31" s="27" t="s">
        <v>66</v>
      </c>
      <c r="I31" s="27" t="s">
        <v>230</v>
      </c>
      <c r="J31" s="27" t="s">
        <v>231</v>
      </c>
      <c r="K31" s="27" t="s">
        <v>359</v>
      </c>
      <c r="L31" s="42" t="s">
        <v>360</v>
      </c>
      <c r="M31" s="42" t="s">
        <v>299</v>
      </c>
      <c r="N31" s="27" t="s">
        <v>361</v>
      </c>
    </row>
    <row r="32" spans="1:14" x14ac:dyDescent="0.25">
      <c r="A32" s="27">
        <v>31</v>
      </c>
      <c r="B32" s="40" t="s">
        <v>362</v>
      </c>
      <c r="C32" s="27" t="s">
        <v>238</v>
      </c>
      <c r="D32" s="27" t="s">
        <v>227</v>
      </c>
      <c r="E32" s="27" t="s">
        <v>239</v>
      </c>
      <c r="F32" s="27" t="s">
        <v>240</v>
      </c>
      <c r="G32" s="44">
        <v>6</v>
      </c>
      <c r="H32" s="27" t="s">
        <v>66</v>
      </c>
      <c r="I32" s="27" t="s">
        <v>230</v>
      </c>
      <c r="J32" s="27" t="s">
        <v>231</v>
      </c>
      <c r="K32" s="27" t="s">
        <v>363</v>
      </c>
      <c r="L32" s="42" t="s">
        <v>364</v>
      </c>
      <c r="M32" s="42" t="s">
        <v>299</v>
      </c>
      <c r="N32" s="27" t="s">
        <v>365</v>
      </c>
    </row>
    <row r="33" spans="1:14" x14ac:dyDescent="0.25">
      <c r="A33" s="27">
        <v>32</v>
      </c>
      <c r="B33" s="40" t="s">
        <v>366</v>
      </c>
      <c r="C33" s="27" t="s">
        <v>238</v>
      </c>
      <c r="D33" s="27" t="s">
        <v>227</v>
      </c>
      <c r="E33" s="27" t="s">
        <v>239</v>
      </c>
      <c r="F33" s="27" t="s">
        <v>240</v>
      </c>
      <c r="G33" s="44">
        <v>6</v>
      </c>
      <c r="H33" s="27" t="s">
        <v>66</v>
      </c>
      <c r="I33" s="27" t="s">
        <v>230</v>
      </c>
      <c r="J33" s="27" t="s">
        <v>231</v>
      </c>
      <c r="K33" s="27" t="s">
        <v>367</v>
      </c>
      <c r="L33" s="42" t="s">
        <v>368</v>
      </c>
      <c r="M33" s="42" t="s">
        <v>304</v>
      </c>
      <c r="N33" s="27" t="s">
        <v>369</v>
      </c>
    </row>
    <row r="34" spans="1:14" x14ac:dyDescent="0.25">
      <c r="A34" s="27">
        <v>33</v>
      </c>
      <c r="B34" s="40" t="s">
        <v>370</v>
      </c>
      <c r="C34" s="27" t="s">
        <v>238</v>
      </c>
      <c r="D34" s="27" t="s">
        <v>227</v>
      </c>
      <c r="E34" s="27" t="s">
        <v>239</v>
      </c>
      <c r="F34" s="27" t="s">
        <v>240</v>
      </c>
      <c r="G34" s="44">
        <v>6</v>
      </c>
      <c r="H34" s="27" t="s">
        <v>66</v>
      </c>
      <c r="I34" s="27" t="s">
        <v>230</v>
      </c>
      <c r="J34" s="27" t="s">
        <v>231</v>
      </c>
      <c r="K34" s="27" t="s">
        <v>371</v>
      </c>
      <c r="L34" s="42" t="s">
        <v>372</v>
      </c>
      <c r="M34" s="42" t="s">
        <v>304</v>
      </c>
      <c r="N34" s="27" t="s">
        <v>373</v>
      </c>
    </row>
    <row r="35" spans="1:14" x14ac:dyDescent="0.25">
      <c r="A35" s="27">
        <v>34</v>
      </c>
      <c r="B35" s="40" t="s">
        <v>374</v>
      </c>
      <c r="C35" s="27" t="s">
        <v>238</v>
      </c>
      <c r="D35" s="27" t="s">
        <v>227</v>
      </c>
      <c r="E35" s="27" t="s">
        <v>375</v>
      </c>
      <c r="F35" s="27" t="s">
        <v>240</v>
      </c>
      <c r="G35" s="44">
        <v>6</v>
      </c>
      <c r="H35" s="27" t="s">
        <v>66</v>
      </c>
      <c r="I35" s="27" t="s">
        <v>230</v>
      </c>
      <c r="J35" s="27" t="s">
        <v>231</v>
      </c>
      <c r="K35" s="27" t="s">
        <v>376</v>
      </c>
      <c r="L35" s="42" t="s">
        <v>377</v>
      </c>
      <c r="M35" s="42" t="s">
        <v>247</v>
      </c>
      <c r="N35" s="27" t="s">
        <v>378</v>
      </c>
    </row>
    <row r="36" spans="1:14" x14ac:dyDescent="0.25">
      <c r="A36" s="27">
        <v>35</v>
      </c>
      <c r="B36" s="40" t="s">
        <v>379</v>
      </c>
      <c r="C36" s="27" t="s">
        <v>238</v>
      </c>
      <c r="D36" s="27" t="s">
        <v>94</v>
      </c>
      <c r="E36" s="27" t="s">
        <v>279</v>
      </c>
      <c r="F36" s="27" t="s">
        <v>240</v>
      </c>
      <c r="G36" s="44">
        <v>6</v>
      </c>
      <c r="H36" s="27" t="s">
        <v>66</v>
      </c>
      <c r="I36" s="27" t="s">
        <v>230</v>
      </c>
      <c r="J36" s="27" t="s">
        <v>231</v>
      </c>
      <c r="K36" s="27" t="s">
        <v>380</v>
      </c>
      <c r="L36" s="42" t="s">
        <v>381</v>
      </c>
      <c r="M36" s="42" t="s">
        <v>382</v>
      </c>
      <c r="N36" s="27" t="s">
        <v>383</v>
      </c>
    </row>
    <row r="37" spans="1:14" x14ac:dyDescent="0.25">
      <c r="A37" s="27">
        <v>36</v>
      </c>
      <c r="B37" s="40" t="s">
        <v>384</v>
      </c>
      <c r="C37" s="27" t="s">
        <v>238</v>
      </c>
      <c r="D37" s="27" t="s">
        <v>94</v>
      </c>
      <c r="E37" s="27" t="s">
        <v>279</v>
      </c>
      <c r="F37" s="27" t="s">
        <v>240</v>
      </c>
      <c r="G37" s="44">
        <v>6</v>
      </c>
      <c r="H37" s="27" t="s">
        <v>66</v>
      </c>
      <c r="I37" s="27" t="s">
        <v>230</v>
      </c>
      <c r="J37" s="27" t="s">
        <v>231</v>
      </c>
      <c r="K37" s="27" t="s">
        <v>385</v>
      </c>
      <c r="L37" s="42" t="s">
        <v>386</v>
      </c>
      <c r="M37" s="42" t="s">
        <v>382</v>
      </c>
      <c r="N37" s="27" t="s">
        <v>387</v>
      </c>
    </row>
    <row r="38" spans="1:14" x14ac:dyDescent="0.25">
      <c r="A38" s="27">
        <v>37</v>
      </c>
      <c r="B38" s="40" t="s">
        <v>388</v>
      </c>
      <c r="C38" s="27" t="s">
        <v>238</v>
      </c>
      <c r="D38" s="27" t="s">
        <v>227</v>
      </c>
      <c r="E38" s="27" t="s">
        <v>239</v>
      </c>
      <c r="F38" s="27" t="s">
        <v>240</v>
      </c>
      <c r="G38" s="44">
        <v>5</v>
      </c>
      <c r="H38" s="27" t="s">
        <v>66</v>
      </c>
      <c r="I38" s="27" t="s">
        <v>230</v>
      </c>
      <c r="J38" s="27" t="s">
        <v>231</v>
      </c>
      <c r="K38" s="27" t="s">
        <v>389</v>
      </c>
      <c r="L38" s="42" t="s">
        <v>390</v>
      </c>
      <c r="M38" s="42" t="s">
        <v>304</v>
      </c>
      <c r="N38" s="27" t="s">
        <v>391</v>
      </c>
    </row>
    <row r="39" spans="1:14" x14ac:dyDescent="0.25">
      <c r="A39" s="27">
        <v>38</v>
      </c>
      <c r="B39" s="40" t="s">
        <v>392</v>
      </c>
      <c r="C39" s="27" t="s">
        <v>226</v>
      </c>
      <c r="D39" s="27" t="s">
        <v>94</v>
      </c>
      <c r="E39" s="27" t="s">
        <v>393</v>
      </c>
      <c r="F39" s="27" t="s">
        <v>229</v>
      </c>
      <c r="G39" s="44">
        <v>5</v>
      </c>
      <c r="H39" s="27" t="s">
        <v>66</v>
      </c>
      <c r="I39" s="27" t="s">
        <v>230</v>
      </c>
      <c r="J39" s="27" t="s">
        <v>231</v>
      </c>
      <c r="K39" s="27" t="s">
        <v>66</v>
      </c>
      <c r="L39" s="42" t="s">
        <v>394</v>
      </c>
      <c r="M39" s="42" t="s">
        <v>394</v>
      </c>
      <c r="N39" s="27" t="s">
        <v>395</v>
      </c>
    </row>
    <row r="40" spans="1:14" x14ac:dyDescent="0.25">
      <c r="A40" s="27">
        <v>39</v>
      </c>
      <c r="B40" s="40" t="s">
        <v>396</v>
      </c>
      <c r="C40" s="27" t="s">
        <v>226</v>
      </c>
      <c r="D40" s="27" t="s">
        <v>227</v>
      </c>
      <c r="E40" s="27" t="s">
        <v>397</v>
      </c>
      <c r="F40" s="27" t="s">
        <v>262</v>
      </c>
      <c r="G40" s="44">
        <v>5</v>
      </c>
      <c r="H40" s="27" t="s">
        <v>66</v>
      </c>
      <c r="I40" s="27" t="s">
        <v>230</v>
      </c>
      <c r="J40" s="27" t="s">
        <v>231</v>
      </c>
      <c r="K40" s="27" t="s">
        <v>66</v>
      </c>
      <c r="L40" s="42" t="s">
        <v>398</v>
      </c>
      <c r="M40" s="42" t="s">
        <v>398</v>
      </c>
      <c r="N40" s="27" t="s">
        <v>399</v>
      </c>
    </row>
    <row r="41" spans="1:14" x14ac:dyDescent="0.25">
      <c r="A41" s="27">
        <v>40</v>
      </c>
      <c r="B41" s="40" t="s">
        <v>400</v>
      </c>
      <c r="C41" s="27" t="s">
        <v>226</v>
      </c>
      <c r="D41" s="27" t="s">
        <v>94</v>
      </c>
      <c r="E41" s="27" t="s">
        <v>401</v>
      </c>
      <c r="F41" s="27" t="s">
        <v>229</v>
      </c>
      <c r="G41" s="44">
        <v>5</v>
      </c>
      <c r="H41" s="27" t="s">
        <v>66</v>
      </c>
      <c r="I41" s="27" t="s">
        <v>230</v>
      </c>
      <c r="J41" s="27" t="s">
        <v>231</v>
      </c>
      <c r="K41" s="27" t="s">
        <v>66</v>
      </c>
      <c r="L41" s="42" t="s">
        <v>402</v>
      </c>
      <c r="M41" s="42" t="s">
        <v>402</v>
      </c>
      <c r="N41" s="27" t="s">
        <v>403</v>
      </c>
    </row>
    <row r="42" spans="1:14" x14ac:dyDescent="0.25">
      <c r="A42" s="27">
        <v>41</v>
      </c>
      <c r="B42" s="40" t="s">
        <v>404</v>
      </c>
      <c r="C42" s="27" t="s">
        <v>226</v>
      </c>
      <c r="D42" s="27" t="s">
        <v>405</v>
      </c>
      <c r="E42" s="27" t="s">
        <v>406</v>
      </c>
      <c r="F42" s="27" t="s">
        <v>229</v>
      </c>
      <c r="G42" s="41">
        <v>9</v>
      </c>
      <c r="H42" s="27" t="s">
        <v>66</v>
      </c>
      <c r="I42" s="27" t="s">
        <v>230</v>
      </c>
      <c r="J42" s="27" t="s">
        <v>407</v>
      </c>
      <c r="K42" s="27" t="s">
        <v>66</v>
      </c>
      <c r="L42" s="42" t="s">
        <v>408</v>
      </c>
      <c r="M42" s="27" t="s">
        <v>66</v>
      </c>
      <c r="N42" s="27" t="s">
        <v>409</v>
      </c>
    </row>
    <row r="43" spans="1:14" x14ac:dyDescent="0.25">
      <c r="A43" s="27">
        <v>42</v>
      </c>
      <c r="B43" s="40" t="s">
        <v>410</v>
      </c>
      <c r="C43" s="27" t="s">
        <v>226</v>
      </c>
      <c r="D43" s="27" t="s">
        <v>405</v>
      </c>
      <c r="E43" s="27" t="s">
        <v>411</v>
      </c>
      <c r="F43" s="27" t="s">
        <v>229</v>
      </c>
      <c r="G43" s="41">
        <v>9</v>
      </c>
      <c r="H43" s="27" t="s">
        <v>66</v>
      </c>
      <c r="I43" s="27" t="s">
        <v>230</v>
      </c>
      <c r="J43" s="27" t="s">
        <v>407</v>
      </c>
      <c r="K43" s="27" t="s">
        <v>66</v>
      </c>
      <c r="L43" s="42" t="s">
        <v>412</v>
      </c>
      <c r="M43" s="27" t="s">
        <v>66</v>
      </c>
      <c r="N43" s="27" t="s">
        <v>413</v>
      </c>
    </row>
    <row r="44" spans="1:14" x14ac:dyDescent="0.25">
      <c r="A44" s="27">
        <v>43</v>
      </c>
      <c r="B44" s="40" t="s">
        <v>414</v>
      </c>
      <c r="C44" s="27" t="s">
        <v>226</v>
      </c>
      <c r="D44" s="27" t="s">
        <v>405</v>
      </c>
      <c r="E44" s="27" t="s">
        <v>415</v>
      </c>
      <c r="F44" s="27" t="s">
        <v>229</v>
      </c>
      <c r="G44" s="41">
        <v>9</v>
      </c>
      <c r="H44" s="27" t="s">
        <v>66</v>
      </c>
      <c r="I44" s="27" t="s">
        <v>230</v>
      </c>
      <c r="J44" s="27" t="s">
        <v>407</v>
      </c>
      <c r="K44" s="27" t="s">
        <v>66</v>
      </c>
      <c r="L44" s="42" t="s">
        <v>416</v>
      </c>
      <c r="M44" s="27" t="s">
        <v>66</v>
      </c>
      <c r="N44" s="27" t="s">
        <v>417</v>
      </c>
    </row>
    <row r="45" spans="1:14" x14ac:dyDescent="0.25">
      <c r="A45" s="27">
        <v>44</v>
      </c>
      <c r="B45" s="40" t="s">
        <v>418</v>
      </c>
      <c r="C45" s="27" t="s">
        <v>226</v>
      </c>
      <c r="D45" s="27" t="s">
        <v>405</v>
      </c>
      <c r="E45" s="27" t="s">
        <v>419</v>
      </c>
      <c r="F45" s="27" t="s">
        <v>229</v>
      </c>
      <c r="G45" s="41">
        <v>9</v>
      </c>
      <c r="H45" s="27" t="s">
        <v>66</v>
      </c>
      <c r="I45" s="27" t="s">
        <v>230</v>
      </c>
      <c r="J45" s="27" t="s">
        <v>407</v>
      </c>
      <c r="K45" s="27" t="s">
        <v>66</v>
      </c>
      <c r="L45" s="42" t="s">
        <v>420</v>
      </c>
      <c r="M45" s="27" t="s">
        <v>66</v>
      </c>
      <c r="N45" s="27" t="s">
        <v>421</v>
      </c>
    </row>
    <row r="46" spans="1:14" x14ac:dyDescent="0.25">
      <c r="A46" s="27">
        <v>45</v>
      </c>
      <c r="B46" s="40" t="s">
        <v>422</v>
      </c>
      <c r="C46" s="27" t="s">
        <v>226</v>
      </c>
      <c r="D46" s="27" t="s">
        <v>405</v>
      </c>
      <c r="E46" s="27" t="s">
        <v>423</v>
      </c>
      <c r="F46" s="27" t="s">
        <v>229</v>
      </c>
      <c r="G46" s="41">
        <v>9</v>
      </c>
      <c r="H46" s="27" t="s">
        <v>66</v>
      </c>
      <c r="I46" s="27" t="s">
        <v>230</v>
      </c>
      <c r="J46" s="27" t="s">
        <v>407</v>
      </c>
      <c r="K46" s="27" t="s">
        <v>66</v>
      </c>
      <c r="L46" s="42" t="s">
        <v>424</v>
      </c>
      <c r="M46" s="27" t="s">
        <v>66</v>
      </c>
      <c r="N46" s="27" t="s">
        <v>425</v>
      </c>
    </row>
    <row r="47" spans="1:14" x14ac:dyDescent="0.25">
      <c r="A47" s="27">
        <v>46</v>
      </c>
      <c r="B47" s="40" t="s">
        <v>426</v>
      </c>
      <c r="C47" s="27" t="s">
        <v>226</v>
      </c>
      <c r="D47" s="27" t="s">
        <v>405</v>
      </c>
      <c r="E47" s="27" t="s">
        <v>427</v>
      </c>
      <c r="F47" s="27" t="s">
        <v>229</v>
      </c>
      <c r="G47" s="41">
        <v>9</v>
      </c>
      <c r="H47" s="27" t="s">
        <v>66</v>
      </c>
      <c r="I47" s="27" t="s">
        <v>230</v>
      </c>
      <c r="J47" s="27" t="s">
        <v>407</v>
      </c>
      <c r="K47" s="27" t="s">
        <v>66</v>
      </c>
      <c r="L47" s="42" t="s">
        <v>428</v>
      </c>
      <c r="M47" s="27" t="s">
        <v>66</v>
      </c>
      <c r="N47" s="27" t="s">
        <v>429</v>
      </c>
    </row>
    <row r="48" spans="1:14" x14ac:dyDescent="0.25">
      <c r="A48" s="27">
        <v>47</v>
      </c>
      <c r="B48" s="40" t="s">
        <v>430</v>
      </c>
      <c r="C48" s="27" t="s">
        <v>226</v>
      </c>
      <c r="D48" s="27" t="s">
        <v>405</v>
      </c>
      <c r="E48" s="27" t="s">
        <v>431</v>
      </c>
      <c r="F48" s="27" t="s">
        <v>262</v>
      </c>
      <c r="G48" s="41">
        <v>9</v>
      </c>
      <c r="H48" s="27" t="s">
        <v>66</v>
      </c>
      <c r="I48" s="27" t="s">
        <v>230</v>
      </c>
      <c r="J48" s="27" t="s">
        <v>407</v>
      </c>
      <c r="K48" s="27" t="s">
        <v>66</v>
      </c>
      <c r="L48" s="42" t="s">
        <v>432</v>
      </c>
      <c r="M48" s="27" t="s">
        <v>66</v>
      </c>
      <c r="N48" s="27" t="s">
        <v>433</v>
      </c>
    </row>
    <row r="49" spans="1:14" x14ac:dyDescent="0.25">
      <c r="A49" s="27">
        <v>48</v>
      </c>
      <c r="B49" s="40" t="s">
        <v>434</v>
      </c>
      <c r="C49" s="27" t="s">
        <v>226</v>
      </c>
      <c r="D49" s="27" t="s">
        <v>405</v>
      </c>
      <c r="E49" s="27" t="s">
        <v>435</v>
      </c>
      <c r="F49" s="27" t="s">
        <v>262</v>
      </c>
      <c r="G49" s="41">
        <v>9</v>
      </c>
      <c r="H49" s="27" t="s">
        <v>66</v>
      </c>
      <c r="I49" s="27" t="s">
        <v>230</v>
      </c>
      <c r="J49" s="27" t="s">
        <v>407</v>
      </c>
      <c r="K49" s="27" t="s">
        <v>66</v>
      </c>
      <c r="L49" s="42" t="s">
        <v>436</v>
      </c>
      <c r="M49" s="27" t="s">
        <v>66</v>
      </c>
      <c r="N49" s="27" t="s">
        <v>437</v>
      </c>
    </row>
    <row r="50" spans="1:14" x14ac:dyDescent="0.25">
      <c r="A50" s="27">
        <v>49</v>
      </c>
      <c r="B50" s="40" t="s">
        <v>438</v>
      </c>
      <c r="C50" s="27" t="s">
        <v>226</v>
      </c>
      <c r="D50" s="27" t="s">
        <v>405</v>
      </c>
      <c r="E50" s="27" t="s">
        <v>439</v>
      </c>
      <c r="F50" s="27" t="s">
        <v>229</v>
      </c>
      <c r="G50" s="41">
        <v>9</v>
      </c>
      <c r="H50" s="27" t="s">
        <v>66</v>
      </c>
      <c r="I50" s="27" t="s">
        <v>230</v>
      </c>
      <c r="J50" s="27" t="s">
        <v>407</v>
      </c>
      <c r="K50" s="27" t="s">
        <v>66</v>
      </c>
      <c r="L50" s="42" t="s">
        <v>440</v>
      </c>
      <c r="M50" s="27" t="s">
        <v>66</v>
      </c>
      <c r="N50" s="27" t="s">
        <v>441</v>
      </c>
    </row>
    <row r="51" spans="1:14" x14ac:dyDescent="0.25">
      <c r="A51" s="27">
        <v>50</v>
      </c>
      <c r="B51" s="40" t="s">
        <v>442</v>
      </c>
      <c r="C51" s="27" t="s">
        <v>226</v>
      </c>
      <c r="D51" s="27" t="s">
        <v>405</v>
      </c>
      <c r="E51" s="27" t="s">
        <v>443</v>
      </c>
      <c r="F51" s="27" t="s">
        <v>229</v>
      </c>
      <c r="G51" s="41">
        <v>9</v>
      </c>
      <c r="H51" s="27" t="s">
        <v>66</v>
      </c>
      <c r="I51" s="27" t="s">
        <v>230</v>
      </c>
      <c r="J51" s="27" t="s">
        <v>407</v>
      </c>
      <c r="K51" s="27" t="s">
        <v>66</v>
      </c>
      <c r="L51" s="42" t="s">
        <v>444</v>
      </c>
      <c r="M51" s="27" t="s">
        <v>66</v>
      </c>
      <c r="N51" s="27" t="s">
        <v>445</v>
      </c>
    </row>
    <row r="52" spans="1:14" x14ac:dyDescent="0.25">
      <c r="A52" s="27">
        <v>51</v>
      </c>
      <c r="B52" s="40" t="s">
        <v>446</v>
      </c>
      <c r="C52" s="27" t="s">
        <v>226</v>
      </c>
      <c r="D52" s="27" t="s">
        <v>405</v>
      </c>
      <c r="E52" s="27" t="s">
        <v>447</v>
      </c>
      <c r="F52" s="27" t="s">
        <v>448</v>
      </c>
      <c r="G52" s="41">
        <v>9</v>
      </c>
      <c r="H52" s="27" t="s">
        <v>66</v>
      </c>
      <c r="I52" s="27" t="s">
        <v>230</v>
      </c>
      <c r="J52" s="27" t="s">
        <v>407</v>
      </c>
      <c r="K52" s="27" t="s">
        <v>66</v>
      </c>
      <c r="L52" s="42" t="s">
        <v>449</v>
      </c>
      <c r="M52" s="27" t="s">
        <v>66</v>
      </c>
      <c r="N52" s="27" t="s">
        <v>450</v>
      </c>
    </row>
    <row r="53" spans="1:14" x14ac:dyDescent="0.25">
      <c r="A53" s="27">
        <v>52</v>
      </c>
      <c r="B53" s="40" t="s">
        <v>451</v>
      </c>
      <c r="C53" s="27" t="s">
        <v>226</v>
      </c>
      <c r="D53" s="27" t="s">
        <v>405</v>
      </c>
      <c r="E53" s="27" t="s">
        <v>452</v>
      </c>
      <c r="F53" s="27" t="s">
        <v>229</v>
      </c>
      <c r="G53" s="41">
        <v>9</v>
      </c>
      <c r="H53" s="27" t="s">
        <v>66</v>
      </c>
      <c r="I53" s="27" t="s">
        <v>230</v>
      </c>
      <c r="J53" s="27" t="s">
        <v>407</v>
      </c>
      <c r="K53" s="27" t="s">
        <v>66</v>
      </c>
      <c r="L53" s="42" t="s">
        <v>453</v>
      </c>
      <c r="M53" s="27" t="s">
        <v>66</v>
      </c>
      <c r="N53" s="27" t="s">
        <v>454</v>
      </c>
    </row>
    <row r="54" spans="1:14" x14ac:dyDescent="0.25">
      <c r="A54" s="27">
        <v>53</v>
      </c>
      <c r="B54" s="40" t="s">
        <v>455</v>
      </c>
      <c r="C54" s="27" t="s">
        <v>226</v>
      </c>
      <c r="D54" s="27" t="s">
        <v>405</v>
      </c>
      <c r="E54" s="27" t="s">
        <v>456</v>
      </c>
      <c r="F54" s="27" t="s">
        <v>262</v>
      </c>
      <c r="G54" s="41">
        <v>9</v>
      </c>
      <c r="H54" s="27" t="s">
        <v>66</v>
      </c>
      <c r="I54" s="27" t="s">
        <v>230</v>
      </c>
      <c r="J54" s="27" t="s">
        <v>407</v>
      </c>
      <c r="K54" s="27" t="s">
        <v>66</v>
      </c>
      <c r="L54" s="42" t="s">
        <v>457</v>
      </c>
      <c r="M54" s="27" t="s">
        <v>66</v>
      </c>
      <c r="N54" s="27" t="s">
        <v>458</v>
      </c>
    </row>
    <row r="55" spans="1:14" x14ac:dyDescent="0.25">
      <c r="A55" s="27">
        <v>54</v>
      </c>
      <c r="B55" s="40" t="s">
        <v>459</v>
      </c>
      <c r="C55" s="27" t="s">
        <v>226</v>
      </c>
      <c r="D55" s="27" t="s">
        <v>405</v>
      </c>
      <c r="E55" s="27" t="s">
        <v>460</v>
      </c>
      <c r="F55" s="27" t="s">
        <v>229</v>
      </c>
      <c r="G55" s="41">
        <v>9</v>
      </c>
      <c r="H55" s="27" t="s">
        <v>66</v>
      </c>
      <c r="I55" s="27" t="s">
        <v>230</v>
      </c>
      <c r="J55" s="27" t="s">
        <v>407</v>
      </c>
      <c r="K55" s="27" t="s">
        <v>66</v>
      </c>
      <c r="L55" s="42" t="s">
        <v>461</v>
      </c>
      <c r="M55" s="27" t="s">
        <v>66</v>
      </c>
      <c r="N55" s="27" t="s">
        <v>462</v>
      </c>
    </row>
    <row r="56" spans="1:14" x14ac:dyDescent="0.25">
      <c r="A56" s="27">
        <v>55</v>
      </c>
      <c r="B56" s="40" t="s">
        <v>463</v>
      </c>
      <c r="C56" s="27" t="s">
        <v>226</v>
      </c>
      <c r="D56" s="27" t="s">
        <v>405</v>
      </c>
      <c r="E56" s="27" t="s">
        <v>464</v>
      </c>
      <c r="F56" s="27" t="s">
        <v>262</v>
      </c>
      <c r="G56" s="41">
        <v>9</v>
      </c>
      <c r="H56" s="27" t="s">
        <v>66</v>
      </c>
      <c r="I56" s="27" t="s">
        <v>230</v>
      </c>
      <c r="J56" s="27" t="s">
        <v>407</v>
      </c>
      <c r="K56" s="27" t="s">
        <v>66</v>
      </c>
      <c r="L56" s="42" t="s">
        <v>465</v>
      </c>
      <c r="M56" s="27" t="s">
        <v>66</v>
      </c>
      <c r="N56" s="27" t="s">
        <v>466</v>
      </c>
    </row>
    <row r="57" spans="1:14" x14ac:dyDescent="0.25">
      <c r="A57" s="27">
        <v>56</v>
      </c>
      <c r="B57" s="40" t="s">
        <v>467</v>
      </c>
      <c r="C57" s="27" t="s">
        <v>226</v>
      </c>
      <c r="D57" s="27" t="s">
        <v>405</v>
      </c>
      <c r="E57" s="27" t="s">
        <v>468</v>
      </c>
      <c r="F57" s="27" t="s">
        <v>229</v>
      </c>
      <c r="G57" s="41">
        <v>9</v>
      </c>
      <c r="H57" s="27" t="s">
        <v>66</v>
      </c>
      <c r="I57" s="27" t="s">
        <v>230</v>
      </c>
      <c r="J57" s="27" t="s">
        <v>407</v>
      </c>
      <c r="K57" s="27" t="s">
        <v>66</v>
      </c>
      <c r="L57" s="42" t="s">
        <v>469</v>
      </c>
      <c r="M57" s="27" t="s">
        <v>66</v>
      </c>
      <c r="N57" s="27" t="s">
        <v>470</v>
      </c>
    </row>
    <row r="58" spans="1:14" x14ac:dyDescent="0.25">
      <c r="A58" s="27">
        <v>57</v>
      </c>
      <c r="B58" s="40" t="s">
        <v>471</v>
      </c>
      <c r="C58" s="27" t="s">
        <v>226</v>
      </c>
      <c r="D58" s="27" t="s">
        <v>405</v>
      </c>
      <c r="E58" s="27" t="s">
        <v>472</v>
      </c>
      <c r="F58" s="27" t="s">
        <v>229</v>
      </c>
      <c r="G58" s="41">
        <v>9</v>
      </c>
      <c r="H58" s="27" t="s">
        <v>66</v>
      </c>
      <c r="I58" s="27" t="s">
        <v>230</v>
      </c>
      <c r="J58" s="27" t="s">
        <v>407</v>
      </c>
      <c r="K58" s="27" t="s">
        <v>66</v>
      </c>
      <c r="L58" s="42" t="s">
        <v>473</v>
      </c>
      <c r="M58" s="27" t="s">
        <v>66</v>
      </c>
      <c r="N58" s="27" t="s">
        <v>474</v>
      </c>
    </row>
    <row r="59" spans="1:14" x14ac:dyDescent="0.25">
      <c r="A59" s="27">
        <v>58</v>
      </c>
      <c r="B59" s="40" t="s">
        <v>475</v>
      </c>
      <c r="C59" s="27" t="s">
        <v>226</v>
      </c>
      <c r="D59" s="27" t="s">
        <v>405</v>
      </c>
      <c r="E59" s="27" t="s">
        <v>476</v>
      </c>
      <c r="F59" s="27" t="s">
        <v>229</v>
      </c>
      <c r="G59" s="41">
        <v>9</v>
      </c>
      <c r="H59" s="27" t="s">
        <v>66</v>
      </c>
      <c r="I59" s="27" t="s">
        <v>230</v>
      </c>
      <c r="J59" s="27" t="s">
        <v>407</v>
      </c>
      <c r="K59" s="27" t="s">
        <v>66</v>
      </c>
      <c r="L59" s="42" t="s">
        <v>477</v>
      </c>
      <c r="M59" s="27" t="s">
        <v>66</v>
      </c>
      <c r="N59" s="27" t="s">
        <v>478</v>
      </c>
    </row>
    <row r="60" spans="1:14" x14ac:dyDescent="0.25">
      <c r="A60" s="27">
        <v>59</v>
      </c>
      <c r="B60" s="40" t="s">
        <v>479</v>
      </c>
      <c r="C60" s="27" t="s">
        <v>226</v>
      </c>
      <c r="D60" s="27" t="s">
        <v>405</v>
      </c>
      <c r="E60" s="27" t="s">
        <v>480</v>
      </c>
      <c r="F60" s="27" t="s">
        <v>481</v>
      </c>
      <c r="G60" s="41">
        <v>9</v>
      </c>
      <c r="H60" s="27" t="s">
        <v>66</v>
      </c>
      <c r="I60" s="27" t="s">
        <v>230</v>
      </c>
      <c r="J60" s="27" t="s">
        <v>407</v>
      </c>
      <c r="K60" s="27" t="s">
        <v>66</v>
      </c>
      <c r="L60" s="42" t="s">
        <v>482</v>
      </c>
      <c r="M60" s="27" t="s">
        <v>66</v>
      </c>
      <c r="N60" s="27" t="s">
        <v>483</v>
      </c>
    </row>
    <row r="61" spans="1:14" x14ac:dyDescent="0.25">
      <c r="A61" s="27">
        <v>60</v>
      </c>
      <c r="B61" s="40" t="s">
        <v>484</v>
      </c>
      <c r="C61" s="27" t="s">
        <v>226</v>
      </c>
      <c r="D61" s="27" t="s">
        <v>405</v>
      </c>
      <c r="E61" s="27" t="s">
        <v>485</v>
      </c>
      <c r="F61" s="27" t="s">
        <v>229</v>
      </c>
      <c r="G61" s="41">
        <v>9</v>
      </c>
      <c r="H61" s="27" t="s">
        <v>66</v>
      </c>
      <c r="I61" s="27" t="s">
        <v>230</v>
      </c>
      <c r="J61" s="27" t="s">
        <v>407</v>
      </c>
      <c r="K61" s="27" t="s">
        <v>66</v>
      </c>
      <c r="L61" s="42" t="s">
        <v>486</v>
      </c>
      <c r="M61" s="27" t="s">
        <v>66</v>
      </c>
      <c r="N61" s="27" t="s">
        <v>487</v>
      </c>
    </row>
    <row r="62" spans="1:14" x14ac:dyDescent="0.25">
      <c r="A62" s="27">
        <v>61</v>
      </c>
      <c r="B62" s="40" t="s">
        <v>488</v>
      </c>
      <c r="C62" s="27" t="s">
        <v>226</v>
      </c>
      <c r="D62" s="27" t="s">
        <v>405</v>
      </c>
      <c r="E62" s="27" t="s">
        <v>489</v>
      </c>
      <c r="F62" s="27" t="s">
        <v>229</v>
      </c>
      <c r="G62" s="41">
        <v>9</v>
      </c>
      <c r="H62" s="27" t="s">
        <v>66</v>
      </c>
      <c r="I62" s="27" t="s">
        <v>230</v>
      </c>
      <c r="J62" s="27" t="s">
        <v>407</v>
      </c>
      <c r="K62" s="27" t="s">
        <v>66</v>
      </c>
      <c r="L62" s="42" t="s">
        <v>490</v>
      </c>
      <c r="M62" s="27" t="s">
        <v>66</v>
      </c>
      <c r="N62" s="27" t="s">
        <v>491</v>
      </c>
    </row>
    <row r="63" spans="1:14" x14ac:dyDescent="0.25">
      <c r="A63" s="27">
        <v>62</v>
      </c>
      <c r="B63" s="40" t="s">
        <v>492</v>
      </c>
      <c r="C63" s="27" t="s">
        <v>226</v>
      </c>
      <c r="D63" s="27" t="s">
        <v>405</v>
      </c>
      <c r="E63" s="27" t="s">
        <v>493</v>
      </c>
      <c r="F63" s="27" t="s">
        <v>229</v>
      </c>
      <c r="G63" s="41">
        <v>9</v>
      </c>
      <c r="H63" s="27" t="s">
        <v>66</v>
      </c>
      <c r="I63" s="27" t="s">
        <v>230</v>
      </c>
      <c r="J63" s="27" t="s">
        <v>407</v>
      </c>
      <c r="K63" s="27" t="s">
        <v>66</v>
      </c>
      <c r="L63" s="42" t="s">
        <v>494</v>
      </c>
      <c r="M63" s="27" t="s">
        <v>66</v>
      </c>
      <c r="N63" s="27" t="s">
        <v>495</v>
      </c>
    </row>
    <row r="64" spans="1:14" x14ac:dyDescent="0.25">
      <c r="A64" s="27">
        <v>63</v>
      </c>
      <c r="B64" s="40" t="s">
        <v>496</v>
      </c>
      <c r="C64" s="27" t="s">
        <v>226</v>
      </c>
      <c r="D64" s="27" t="s">
        <v>405</v>
      </c>
      <c r="E64" s="27" t="s">
        <v>497</v>
      </c>
      <c r="F64" s="27" t="s">
        <v>262</v>
      </c>
      <c r="G64" s="41">
        <v>9</v>
      </c>
      <c r="H64" s="27" t="s">
        <v>66</v>
      </c>
      <c r="I64" s="27" t="s">
        <v>230</v>
      </c>
      <c r="J64" s="27" t="s">
        <v>407</v>
      </c>
      <c r="K64" s="27" t="s">
        <v>66</v>
      </c>
      <c r="L64" s="42" t="s">
        <v>498</v>
      </c>
      <c r="M64" s="27" t="s">
        <v>66</v>
      </c>
      <c r="N64" s="27" t="s">
        <v>499</v>
      </c>
    </row>
    <row r="65" spans="1:14" x14ac:dyDescent="0.25">
      <c r="A65" s="27">
        <v>64</v>
      </c>
      <c r="B65" s="40" t="s">
        <v>500</v>
      </c>
      <c r="C65" s="27" t="s">
        <v>226</v>
      </c>
      <c r="D65" s="27" t="s">
        <v>405</v>
      </c>
      <c r="E65" s="27" t="s">
        <v>501</v>
      </c>
      <c r="F65" s="27" t="s">
        <v>502</v>
      </c>
      <c r="G65" s="43">
        <v>8</v>
      </c>
      <c r="H65" s="27" t="s">
        <v>66</v>
      </c>
      <c r="I65" s="27" t="s">
        <v>230</v>
      </c>
      <c r="J65" s="27" t="s">
        <v>407</v>
      </c>
      <c r="K65" s="27" t="s">
        <v>66</v>
      </c>
      <c r="L65" s="42" t="s">
        <v>503</v>
      </c>
      <c r="M65" s="27" t="s">
        <v>66</v>
      </c>
      <c r="N65" s="27" t="s">
        <v>504</v>
      </c>
    </row>
    <row r="66" spans="1:14" x14ac:dyDescent="0.25">
      <c r="A66" s="27">
        <v>65</v>
      </c>
      <c r="B66" s="40" t="s">
        <v>505</v>
      </c>
      <c r="C66" s="27" t="s">
        <v>226</v>
      </c>
      <c r="D66" s="27" t="s">
        <v>405</v>
      </c>
      <c r="E66" s="27" t="s">
        <v>506</v>
      </c>
      <c r="F66" s="27" t="s">
        <v>507</v>
      </c>
      <c r="G66" s="43">
        <v>8</v>
      </c>
      <c r="H66" s="27" t="s">
        <v>66</v>
      </c>
      <c r="I66" s="27" t="s">
        <v>230</v>
      </c>
      <c r="J66" s="27" t="s">
        <v>407</v>
      </c>
      <c r="K66" s="27" t="s">
        <v>66</v>
      </c>
      <c r="L66" s="42" t="s">
        <v>508</v>
      </c>
      <c r="M66" s="27" t="s">
        <v>66</v>
      </c>
      <c r="N66" s="27" t="s">
        <v>509</v>
      </c>
    </row>
    <row r="67" spans="1:14" x14ac:dyDescent="0.25">
      <c r="A67" s="27">
        <v>66</v>
      </c>
      <c r="B67" s="40" t="s">
        <v>510</v>
      </c>
      <c r="C67" s="27" t="s">
        <v>226</v>
      </c>
      <c r="D67" s="27" t="s">
        <v>405</v>
      </c>
      <c r="E67" s="27" t="s">
        <v>511</v>
      </c>
      <c r="F67" s="27" t="s">
        <v>502</v>
      </c>
      <c r="G67" s="43">
        <v>8</v>
      </c>
      <c r="H67" s="27" t="s">
        <v>66</v>
      </c>
      <c r="I67" s="27" t="s">
        <v>230</v>
      </c>
      <c r="J67" s="27" t="s">
        <v>407</v>
      </c>
      <c r="K67" s="27" t="s">
        <v>66</v>
      </c>
      <c r="L67" s="42" t="s">
        <v>512</v>
      </c>
      <c r="M67" s="27" t="s">
        <v>66</v>
      </c>
      <c r="N67" s="27" t="s">
        <v>513</v>
      </c>
    </row>
    <row r="68" spans="1:14" x14ac:dyDescent="0.25">
      <c r="A68" s="27">
        <v>67</v>
      </c>
      <c r="B68" s="40" t="s">
        <v>514</v>
      </c>
      <c r="C68" s="27" t="s">
        <v>226</v>
      </c>
      <c r="D68" s="27" t="s">
        <v>405</v>
      </c>
      <c r="E68" s="27" t="s">
        <v>515</v>
      </c>
      <c r="F68" s="27" t="s">
        <v>262</v>
      </c>
      <c r="G68" s="43">
        <v>8</v>
      </c>
      <c r="H68" s="27" t="s">
        <v>66</v>
      </c>
      <c r="I68" s="27" t="s">
        <v>230</v>
      </c>
      <c r="J68" s="27" t="s">
        <v>407</v>
      </c>
      <c r="K68" s="27" t="s">
        <v>66</v>
      </c>
      <c r="L68" s="42" t="s">
        <v>516</v>
      </c>
      <c r="M68" s="27" t="s">
        <v>66</v>
      </c>
      <c r="N68" s="27" t="s">
        <v>517</v>
      </c>
    </row>
    <row r="69" spans="1:14" x14ac:dyDescent="0.25">
      <c r="A69" s="27">
        <v>68</v>
      </c>
      <c r="B69" s="40" t="s">
        <v>518</v>
      </c>
      <c r="C69" s="27" t="s">
        <v>226</v>
      </c>
      <c r="D69" s="27" t="s">
        <v>405</v>
      </c>
      <c r="E69" s="27" t="s">
        <v>519</v>
      </c>
      <c r="F69" s="27" t="s">
        <v>262</v>
      </c>
      <c r="G69" s="43">
        <v>8</v>
      </c>
      <c r="H69" s="27" t="s">
        <v>66</v>
      </c>
      <c r="I69" s="27" t="s">
        <v>230</v>
      </c>
      <c r="J69" s="27" t="s">
        <v>407</v>
      </c>
      <c r="K69" s="27" t="s">
        <v>66</v>
      </c>
      <c r="L69" s="42" t="s">
        <v>520</v>
      </c>
      <c r="M69" s="27" t="s">
        <v>66</v>
      </c>
      <c r="N69" s="27" t="s">
        <v>521</v>
      </c>
    </row>
    <row r="70" spans="1:14" x14ac:dyDescent="0.25">
      <c r="A70" s="27">
        <v>69</v>
      </c>
      <c r="B70" s="40" t="s">
        <v>522</v>
      </c>
      <c r="C70" s="27" t="s">
        <v>226</v>
      </c>
      <c r="D70" s="27" t="s">
        <v>405</v>
      </c>
      <c r="E70" s="27" t="s">
        <v>523</v>
      </c>
      <c r="F70" s="27" t="s">
        <v>262</v>
      </c>
      <c r="G70" s="43">
        <v>8</v>
      </c>
      <c r="H70" s="27" t="s">
        <v>66</v>
      </c>
      <c r="I70" s="27" t="s">
        <v>230</v>
      </c>
      <c r="J70" s="27" t="s">
        <v>407</v>
      </c>
      <c r="K70" s="27" t="s">
        <v>66</v>
      </c>
      <c r="L70" s="42" t="s">
        <v>524</v>
      </c>
      <c r="M70" s="27" t="s">
        <v>66</v>
      </c>
      <c r="N70" s="27" t="s">
        <v>525</v>
      </c>
    </row>
    <row r="71" spans="1:14" x14ac:dyDescent="0.25">
      <c r="A71" s="27">
        <v>70</v>
      </c>
      <c r="B71" s="40" t="s">
        <v>526</v>
      </c>
      <c r="C71" s="27" t="s">
        <v>226</v>
      </c>
      <c r="D71" s="27" t="s">
        <v>405</v>
      </c>
      <c r="E71" s="27" t="s">
        <v>527</v>
      </c>
      <c r="F71" s="27" t="s">
        <v>528</v>
      </c>
      <c r="G71" s="43">
        <v>8</v>
      </c>
      <c r="H71" s="27" t="s">
        <v>66</v>
      </c>
      <c r="I71" s="27" t="s">
        <v>230</v>
      </c>
      <c r="J71" s="27" t="s">
        <v>407</v>
      </c>
      <c r="K71" s="27" t="s">
        <v>66</v>
      </c>
      <c r="L71" s="42" t="s">
        <v>529</v>
      </c>
      <c r="M71" s="27" t="s">
        <v>66</v>
      </c>
      <c r="N71" s="27" t="s">
        <v>530</v>
      </c>
    </row>
    <row r="72" spans="1:14" x14ac:dyDescent="0.25">
      <c r="A72" s="27">
        <v>71</v>
      </c>
      <c r="B72" s="40" t="s">
        <v>531</v>
      </c>
      <c r="C72" s="27" t="s">
        <v>226</v>
      </c>
      <c r="D72" s="27" t="s">
        <v>405</v>
      </c>
      <c r="E72" s="27" t="s">
        <v>532</v>
      </c>
      <c r="F72" s="27" t="s">
        <v>240</v>
      </c>
      <c r="G72" s="43">
        <v>7</v>
      </c>
      <c r="H72" s="27" t="s">
        <v>66</v>
      </c>
      <c r="I72" s="27" t="s">
        <v>230</v>
      </c>
      <c r="J72" s="27" t="s">
        <v>407</v>
      </c>
      <c r="K72" s="27" t="s">
        <v>66</v>
      </c>
      <c r="L72" s="42" t="s">
        <v>533</v>
      </c>
      <c r="M72" s="27" t="s">
        <v>66</v>
      </c>
      <c r="N72" s="27" t="s">
        <v>534</v>
      </c>
    </row>
    <row r="73" spans="1:14" x14ac:dyDescent="0.25">
      <c r="A73" s="27">
        <v>72</v>
      </c>
      <c r="B73" s="40" t="s">
        <v>535</v>
      </c>
      <c r="C73" s="27" t="s">
        <v>226</v>
      </c>
      <c r="D73" s="27" t="s">
        <v>405</v>
      </c>
      <c r="E73" s="27" t="s">
        <v>536</v>
      </c>
      <c r="F73" s="27" t="s">
        <v>537</v>
      </c>
      <c r="G73" s="43">
        <v>7</v>
      </c>
      <c r="H73" s="27" t="s">
        <v>66</v>
      </c>
      <c r="I73" s="27" t="s">
        <v>230</v>
      </c>
      <c r="J73" s="27" t="s">
        <v>407</v>
      </c>
      <c r="K73" s="27" t="s">
        <v>538</v>
      </c>
      <c r="L73" s="42" t="s">
        <v>539</v>
      </c>
      <c r="M73" s="27" t="s">
        <v>66</v>
      </c>
      <c r="N73" s="27" t="s">
        <v>540</v>
      </c>
    </row>
    <row r="74" spans="1:14" x14ac:dyDescent="0.25">
      <c r="A74" s="27">
        <v>73</v>
      </c>
      <c r="B74" s="40" t="s">
        <v>541</v>
      </c>
      <c r="C74" s="27" t="s">
        <v>226</v>
      </c>
      <c r="D74" s="27" t="s">
        <v>405</v>
      </c>
      <c r="E74" s="27" t="s">
        <v>542</v>
      </c>
      <c r="F74" s="27" t="s">
        <v>543</v>
      </c>
      <c r="G74" s="43">
        <v>7</v>
      </c>
      <c r="H74" s="27" t="s">
        <v>66</v>
      </c>
      <c r="I74" s="27" t="s">
        <v>230</v>
      </c>
      <c r="J74" s="27" t="s">
        <v>407</v>
      </c>
      <c r="K74" s="27" t="s">
        <v>66</v>
      </c>
      <c r="L74" s="42" t="s">
        <v>544</v>
      </c>
      <c r="M74" s="27" t="s">
        <v>66</v>
      </c>
      <c r="N74" s="27" t="s">
        <v>545</v>
      </c>
    </row>
    <row r="75" spans="1:14" x14ac:dyDescent="0.25">
      <c r="A75" s="27">
        <v>74</v>
      </c>
      <c r="B75" s="40" t="s">
        <v>546</v>
      </c>
      <c r="C75" s="27" t="s">
        <v>226</v>
      </c>
      <c r="D75" s="27" t="s">
        <v>405</v>
      </c>
      <c r="E75" s="27" t="s">
        <v>547</v>
      </c>
      <c r="F75" s="27" t="s">
        <v>548</v>
      </c>
      <c r="G75" s="43">
        <v>7</v>
      </c>
      <c r="H75" s="27" t="s">
        <v>66</v>
      </c>
      <c r="I75" s="27" t="s">
        <v>230</v>
      </c>
      <c r="J75" s="27" t="s">
        <v>407</v>
      </c>
      <c r="K75" s="27" t="s">
        <v>66</v>
      </c>
      <c r="L75" s="42" t="s">
        <v>549</v>
      </c>
      <c r="M75" s="27" t="s">
        <v>66</v>
      </c>
      <c r="N75" s="27" t="s">
        <v>550</v>
      </c>
    </row>
    <row r="76" spans="1:14" x14ac:dyDescent="0.25">
      <c r="A76" s="27">
        <v>75</v>
      </c>
      <c r="B76" s="40" t="s">
        <v>551</v>
      </c>
      <c r="C76" s="27" t="s">
        <v>226</v>
      </c>
      <c r="D76" s="27" t="s">
        <v>405</v>
      </c>
      <c r="E76" s="27" t="s">
        <v>552</v>
      </c>
      <c r="F76" s="27" t="s">
        <v>553</v>
      </c>
      <c r="G76" s="43">
        <v>7</v>
      </c>
      <c r="H76" s="27" t="s">
        <v>66</v>
      </c>
      <c r="I76" s="27" t="s">
        <v>230</v>
      </c>
      <c r="J76" s="27" t="s">
        <v>407</v>
      </c>
      <c r="K76" s="27" t="s">
        <v>66</v>
      </c>
      <c r="L76" s="42" t="s">
        <v>554</v>
      </c>
      <c r="M76" s="27" t="s">
        <v>66</v>
      </c>
      <c r="N76" s="27" t="s">
        <v>555</v>
      </c>
    </row>
    <row r="77" spans="1:14" x14ac:dyDescent="0.25">
      <c r="A77" s="27">
        <v>76</v>
      </c>
      <c r="B77" s="40" t="s">
        <v>188</v>
      </c>
      <c r="C77" s="27" t="s">
        <v>238</v>
      </c>
      <c r="D77" s="27" t="s">
        <v>189</v>
      </c>
      <c r="E77" s="27" t="s">
        <v>66</v>
      </c>
      <c r="F77" s="27" t="s">
        <v>66</v>
      </c>
      <c r="G77" s="41">
        <v>9</v>
      </c>
      <c r="H77" s="27" t="s">
        <v>556</v>
      </c>
      <c r="I77" s="27" t="s">
        <v>230</v>
      </c>
      <c r="J77" s="27" t="s">
        <v>557</v>
      </c>
      <c r="K77" s="27" t="s">
        <v>558</v>
      </c>
      <c r="L77" s="42" t="s">
        <v>559</v>
      </c>
      <c r="M77" s="42" t="s">
        <v>560</v>
      </c>
      <c r="N77" s="27" t="s">
        <v>561</v>
      </c>
    </row>
    <row r="78" spans="1:14" x14ac:dyDescent="0.25">
      <c r="A78" s="27">
        <v>77</v>
      </c>
      <c r="B78" s="40" t="s">
        <v>193</v>
      </c>
      <c r="C78" s="27" t="s">
        <v>238</v>
      </c>
      <c r="D78" s="27" t="s">
        <v>194</v>
      </c>
      <c r="E78" s="27" t="s">
        <v>66</v>
      </c>
      <c r="F78" s="27" t="s">
        <v>66</v>
      </c>
      <c r="G78" s="41">
        <v>9</v>
      </c>
      <c r="H78" s="27" t="s">
        <v>562</v>
      </c>
      <c r="I78" s="27" t="s">
        <v>230</v>
      </c>
      <c r="J78" s="27" t="s">
        <v>557</v>
      </c>
      <c r="K78" s="27" t="s">
        <v>563</v>
      </c>
      <c r="L78" s="42" t="s">
        <v>564</v>
      </c>
      <c r="M78" s="42" t="s">
        <v>565</v>
      </c>
      <c r="N78" s="27" t="s">
        <v>566</v>
      </c>
    </row>
    <row r="79" spans="1:14" x14ac:dyDescent="0.25">
      <c r="A79" s="27">
        <v>78</v>
      </c>
      <c r="B79" s="40" t="s">
        <v>195</v>
      </c>
      <c r="C79" s="27" t="s">
        <v>238</v>
      </c>
      <c r="D79" s="27" t="s">
        <v>196</v>
      </c>
      <c r="E79" s="27" t="s">
        <v>66</v>
      </c>
      <c r="F79" s="27" t="s">
        <v>66</v>
      </c>
      <c r="G79" s="43">
        <v>8</v>
      </c>
      <c r="H79" s="27" t="s">
        <v>567</v>
      </c>
      <c r="I79" s="27" t="s">
        <v>230</v>
      </c>
      <c r="J79" s="27" t="s">
        <v>557</v>
      </c>
      <c r="K79" s="27" t="s">
        <v>568</v>
      </c>
      <c r="L79" s="42" t="s">
        <v>569</v>
      </c>
      <c r="M79" s="42" t="s">
        <v>565</v>
      </c>
      <c r="N79" s="27" t="s">
        <v>570</v>
      </c>
    </row>
    <row r="80" spans="1:14" x14ac:dyDescent="0.25">
      <c r="A80" s="27">
        <v>79</v>
      </c>
      <c r="B80" s="40" t="s">
        <v>197</v>
      </c>
      <c r="C80" s="27" t="s">
        <v>238</v>
      </c>
      <c r="D80" s="27" t="s">
        <v>198</v>
      </c>
      <c r="E80" s="27" t="s">
        <v>66</v>
      </c>
      <c r="F80" s="27" t="s">
        <v>66</v>
      </c>
      <c r="G80" s="43">
        <v>7</v>
      </c>
      <c r="H80" s="27" t="s">
        <v>571</v>
      </c>
      <c r="I80" s="27" t="s">
        <v>230</v>
      </c>
      <c r="J80" s="27" t="s">
        <v>557</v>
      </c>
      <c r="K80" s="27" t="s">
        <v>572</v>
      </c>
      <c r="L80" s="42" t="s">
        <v>573</v>
      </c>
      <c r="M80" s="42" t="s">
        <v>574</v>
      </c>
      <c r="N80" s="27" t="s">
        <v>575</v>
      </c>
    </row>
    <row r="81" spans="1:14" x14ac:dyDescent="0.25">
      <c r="A81" s="27">
        <v>80</v>
      </c>
      <c r="B81" s="40" t="s">
        <v>199</v>
      </c>
      <c r="C81" s="27" t="s">
        <v>238</v>
      </c>
      <c r="D81" s="27" t="s">
        <v>200</v>
      </c>
      <c r="E81" s="27" t="s">
        <v>66</v>
      </c>
      <c r="F81" s="27" t="s">
        <v>66</v>
      </c>
      <c r="G81" s="43">
        <v>7</v>
      </c>
      <c r="H81" s="27" t="s">
        <v>576</v>
      </c>
      <c r="I81" s="27" t="s">
        <v>230</v>
      </c>
      <c r="J81" s="27" t="s">
        <v>557</v>
      </c>
      <c r="K81" s="27" t="s">
        <v>577</v>
      </c>
      <c r="L81" s="42" t="s">
        <v>578</v>
      </c>
      <c r="M81" s="42" t="s">
        <v>579</v>
      </c>
      <c r="N81" s="27" t="s">
        <v>580</v>
      </c>
    </row>
    <row r="82" spans="1:14" x14ac:dyDescent="0.25">
      <c r="A82" s="27">
        <v>81</v>
      </c>
      <c r="B82" s="40" t="s">
        <v>201</v>
      </c>
      <c r="C82" s="27" t="s">
        <v>238</v>
      </c>
      <c r="D82" s="27" t="s">
        <v>202</v>
      </c>
      <c r="E82" s="27" t="s">
        <v>66</v>
      </c>
      <c r="F82" s="27" t="s">
        <v>66</v>
      </c>
      <c r="G82" s="44">
        <v>6</v>
      </c>
      <c r="H82" s="27" t="s">
        <v>581</v>
      </c>
      <c r="I82" s="27" t="s">
        <v>230</v>
      </c>
      <c r="J82" s="27" t="s">
        <v>557</v>
      </c>
      <c r="K82" s="27" t="s">
        <v>582</v>
      </c>
      <c r="L82" s="42" t="s">
        <v>583</v>
      </c>
      <c r="M82" s="42" t="s">
        <v>565</v>
      </c>
      <c r="N82" s="27" t="s">
        <v>584</v>
      </c>
    </row>
    <row r="83" spans="1:14" x14ac:dyDescent="0.25">
      <c r="A83" s="27">
        <v>82</v>
      </c>
      <c r="B83" s="40" t="s">
        <v>203</v>
      </c>
      <c r="C83" s="27" t="s">
        <v>238</v>
      </c>
      <c r="D83" s="27" t="s">
        <v>204</v>
      </c>
      <c r="E83" s="27" t="s">
        <v>66</v>
      </c>
      <c r="F83" s="27" t="s">
        <v>66</v>
      </c>
      <c r="G83" s="44">
        <v>6</v>
      </c>
      <c r="H83" s="27" t="s">
        <v>585</v>
      </c>
      <c r="I83" s="27" t="s">
        <v>230</v>
      </c>
      <c r="J83" s="27" t="s">
        <v>557</v>
      </c>
      <c r="K83" s="27" t="s">
        <v>586</v>
      </c>
      <c r="L83" s="42" t="s">
        <v>587</v>
      </c>
      <c r="M83" s="42" t="s">
        <v>574</v>
      </c>
      <c r="N83" s="27" t="s">
        <v>588</v>
      </c>
    </row>
    <row r="84" spans="1:14" x14ac:dyDescent="0.25">
      <c r="A84" s="27">
        <v>83</v>
      </c>
      <c r="B84" s="40" t="s">
        <v>205</v>
      </c>
      <c r="C84" s="27" t="s">
        <v>238</v>
      </c>
      <c r="D84" s="27" t="s">
        <v>206</v>
      </c>
      <c r="E84" s="27" t="s">
        <v>66</v>
      </c>
      <c r="F84" s="27" t="s">
        <v>66</v>
      </c>
      <c r="G84" s="44">
        <v>6</v>
      </c>
      <c r="H84" s="27" t="s">
        <v>589</v>
      </c>
      <c r="I84" s="27" t="s">
        <v>230</v>
      </c>
      <c r="J84" s="27" t="s">
        <v>557</v>
      </c>
      <c r="K84" s="27" t="s">
        <v>590</v>
      </c>
      <c r="L84" s="42" t="s">
        <v>591</v>
      </c>
      <c r="M84" s="42" t="s">
        <v>574</v>
      </c>
      <c r="N84" s="27" t="s">
        <v>592</v>
      </c>
    </row>
    <row r="85" spans="1:14" x14ac:dyDescent="0.25">
      <c r="A85" s="27">
        <v>84</v>
      </c>
      <c r="B85" s="40" t="s">
        <v>207</v>
      </c>
      <c r="C85" s="27" t="s">
        <v>238</v>
      </c>
      <c r="D85" s="27" t="s">
        <v>208</v>
      </c>
      <c r="E85" s="27" t="s">
        <v>66</v>
      </c>
      <c r="F85" s="27" t="s">
        <v>66</v>
      </c>
      <c r="G85" s="44">
        <v>5</v>
      </c>
      <c r="H85" s="27" t="s">
        <v>593</v>
      </c>
      <c r="I85" s="27" t="s">
        <v>230</v>
      </c>
      <c r="J85" s="27" t="s">
        <v>557</v>
      </c>
      <c r="K85" s="27" t="s">
        <v>594</v>
      </c>
      <c r="L85" s="42" t="s">
        <v>595</v>
      </c>
      <c r="M85" s="42" t="s">
        <v>574</v>
      </c>
      <c r="N85" s="27" t="s">
        <v>596</v>
      </c>
    </row>
    <row r="86" spans="1:14" x14ac:dyDescent="0.25">
      <c r="A86" s="27">
        <v>85</v>
      </c>
      <c r="B86" s="40" t="s">
        <v>209</v>
      </c>
      <c r="C86" s="27" t="s">
        <v>238</v>
      </c>
      <c r="D86" s="27" t="s">
        <v>210</v>
      </c>
      <c r="E86" s="27" t="s">
        <v>66</v>
      </c>
      <c r="F86" s="27" t="s">
        <v>66</v>
      </c>
      <c r="G86" s="44">
        <v>5</v>
      </c>
      <c r="H86" s="27" t="s">
        <v>597</v>
      </c>
      <c r="I86" s="27" t="s">
        <v>230</v>
      </c>
      <c r="J86" s="27" t="s">
        <v>557</v>
      </c>
      <c r="K86" s="27" t="s">
        <v>598</v>
      </c>
      <c r="L86" s="42" t="s">
        <v>599</v>
      </c>
      <c r="M86" s="42" t="s">
        <v>574</v>
      </c>
      <c r="N86" s="27" t="s">
        <v>600</v>
      </c>
    </row>
  </sheetData>
  <autoFilter ref="A1:N1"/>
  <hyperlinks>
    <hyperlink ref="L2" r:id="rId1"/>
    <hyperlink ref="M2" r:id="rId2"/>
    <hyperlink ref="L3" r:id="rId3"/>
    <hyperlink ref="M3" r:id="rId4"/>
    <hyperlink ref="L4" r:id="rId5"/>
    <hyperlink ref="M4" r:id="rId6"/>
    <hyperlink ref="L5" r:id="rId7"/>
    <hyperlink ref="M5" r:id="rId8"/>
    <hyperlink ref="L6" r:id="rId9"/>
    <hyperlink ref="M6" r:id="rId10"/>
    <hyperlink ref="L7" r:id="rId11"/>
    <hyperlink ref="M7" r:id="rId12"/>
    <hyperlink ref="L8" r:id="rId13"/>
    <hyperlink ref="M8" r:id="rId14"/>
    <hyperlink ref="L9" r:id="rId15"/>
    <hyperlink ref="M9" r:id="rId16"/>
    <hyperlink ref="L10" r:id="rId17"/>
    <hyperlink ref="M10" r:id="rId18"/>
    <hyperlink ref="L11" r:id="rId19"/>
    <hyperlink ref="M11" r:id="rId20"/>
    <hyperlink ref="L12" r:id="rId21"/>
    <hyperlink ref="M12" r:id="rId22"/>
    <hyperlink ref="L13" r:id="rId23"/>
    <hyperlink ref="M13" r:id="rId24"/>
    <hyperlink ref="L14" r:id="rId25"/>
    <hyperlink ref="M14" r:id="rId26"/>
    <hyperlink ref="L15" r:id="rId27"/>
    <hyperlink ref="M15" r:id="rId28"/>
    <hyperlink ref="L16" r:id="rId29"/>
    <hyperlink ref="M16" r:id="rId30"/>
    <hyperlink ref="L17" r:id="rId31"/>
    <hyperlink ref="M17" r:id="rId32"/>
    <hyperlink ref="L18" r:id="rId33"/>
    <hyperlink ref="M18" r:id="rId34"/>
    <hyperlink ref="L19" r:id="rId35"/>
    <hyperlink ref="M19" r:id="rId36"/>
    <hyperlink ref="L20" r:id="rId37"/>
    <hyperlink ref="M20" r:id="rId38"/>
    <hyperlink ref="L21" r:id="rId39"/>
    <hyperlink ref="M21" r:id="rId40"/>
    <hyperlink ref="L22" r:id="rId41"/>
    <hyperlink ref="M22" r:id="rId42"/>
    <hyperlink ref="L23" r:id="rId43"/>
    <hyperlink ref="M23" r:id="rId44"/>
    <hyperlink ref="L24" r:id="rId45"/>
    <hyperlink ref="M24" r:id="rId46"/>
    <hyperlink ref="L25" r:id="rId47"/>
    <hyperlink ref="M25" r:id="rId48"/>
    <hyperlink ref="L26" r:id="rId49"/>
    <hyperlink ref="M26" r:id="rId50"/>
    <hyperlink ref="L27" r:id="rId51"/>
    <hyperlink ref="M27" r:id="rId52"/>
    <hyperlink ref="L28" r:id="rId53"/>
    <hyperlink ref="M28" r:id="rId54"/>
    <hyperlink ref="L29" r:id="rId55"/>
    <hyperlink ref="M29" r:id="rId56"/>
    <hyperlink ref="L30" r:id="rId57"/>
    <hyperlink ref="M30" r:id="rId58"/>
    <hyperlink ref="L31" r:id="rId59"/>
    <hyperlink ref="M31" r:id="rId60"/>
    <hyperlink ref="L32" r:id="rId61"/>
    <hyperlink ref="M32" r:id="rId62"/>
    <hyperlink ref="L33" r:id="rId63"/>
    <hyperlink ref="M33" r:id="rId64"/>
    <hyperlink ref="L34" r:id="rId65"/>
    <hyperlink ref="M34" r:id="rId66"/>
    <hyperlink ref="L35" r:id="rId67"/>
    <hyperlink ref="M35" r:id="rId68"/>
    <hyperlink ref="L36" r:id="rId69"/>
    <hyperlink ref="M36" r:id="rId70"/>
    <hyperlink ref="L37" r:id="rId71"/>
    <hyperlink ref="M37" r:id="rId72"/>
    <hyperlink ref="L38" r:id="rId73"/>
    <hyperlink ref="M38" r:id="rId74"/>
    <hyperlink ref="L39" r:id="rId75"/>
    <hyperlink ref="M39" r:id="rId76"/>
    <hyperlink ref="L40" r:id="rId77"/>
    <hyperlink ref="M40" r:id="rId78"/>
    <hyperlink ref="L41" r:id="rId79"/>
    <hyperlink ref="M41" r:id="rId80"/>
    <hyperlink ref="L42" r:id="rId81"/>
    <hyperlink ref="L43" r:id="rId82"/>
    <hyperlink ref="L44" r:id="rId83"/>
    <hyperlink ref="L45" r:id="rId84"/>
    <hyperlink ref="L46" r:id="rId85"/>
    <hyperlink ref="L47" r:id="rId86"/>
    <hyperlink ref="L48" r:id="rId87"/>
    <hyperlink ref="L49" r:id="rId88"/>
    <hyperlink ref="L50" r:id="rId89"/>
    <hyperlink ref="L51" r:id="rId90"/>
    <hyperlink ref="L52" r:id="rId91"/>
    <hyperlink ref="L53" r:id="rId92"/>
    <hyperlink ref="L54" r:id="rId93"/>
    <hyperlink ref="L55" r:id="rId94"/>
    <hyperlink ref="L56" r:id="rId95"/>
    <hyperlink ref="L57" r:id="rId96"/>
    <hyperlink ref="L58" r:id="rId97"/>
    <hyperlink ref="L59" r:id="rId98"/>
    <hyperlink ref="L60" r:id="rId99"/>
    <hyperlink ref="L61" r:id="rId100"/>
    <hyperlink ref="L62" r:id="rId101"/>
    <hyperlink ref="L63" r:id="rId102"/>
    <hyperlink ref="L64" r:id="rId103"/>
    <hyperlink ref="L65" r:id="rId104"/>
    <hyperlink ref="L66" r:id="rId105"/>
    <hyperlink ref="L67" r:id="rId106"/>
    <hyperlink ref="L68" r:id="rId107"/>
    <hyperlink ref="L69" r:id="rId108"/>
    <hyperlink ref="L70" r:id="rId109"/>
    <hyperlink ref="L71" r:id="rId110"/>
    <hyperlink ref="L72" r:id="rId111"/>
    <hyperlink ref="L73" r:id="rId112"/>
    <hyperlink ref="L74" r:id="rId113"/>
    <hyperlink ref="L75" r:id="rId114"/>
    <hyperlink ref="L76" r:id="rId115"/>
    <hyperlink ref="L77" r:id="rId116"/>
    <hyperlink ref="M77" r:id="rId117"/>
    <hyperlink ref="L78" r:id="rId118"/>
    <hyperlink ref="M78" r:id="rId119"/>
    <hyperlink ref="L79" r:id="rId120"/>
    <hyperlink ref="M79" r:id="rId121"/>
    <hyperlink ref="L80" r:id="rId122"/>
    <hyperlink ref="M80" r:id="rId123"/>
    <hyperlink ref="L81" r:id="rId124"/>
    <hyperlink ref="M81" r:id="rId125"/>
    <hyperlink ref="L82" r:id="rId126"/>
    <hyperlink ref="M82" r:id="rId127"/>
    <hyperlink ref="L83" r:id="rId128"/>
    <hyperlink ref="M83" r:id="rId129"/>
    <hyperlink ref="L84" r:id="rId130"/>
    <hyperlink ref="M84" r:id="rId131"/>
    <hyperlink ref="L85" r:id="rId132"/>
    <hyperlink ref="M85" r:id="rId133"/>
    <hyperlink ref="L86" r:id="rId134"/>
    <hyperlink ref="M86" r:id="rId135"/>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Conversion Funnel</vt:lpstr>
      <vt:lpstr>Interviews</vt:lpstr>
      <vt:lpstr>Active Pipeline</vt:lpstr>
      <vt:lpstr>All Prospects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PhysicianLabs</dc:creator>
  <dc:title/>
  <dc:subject/>
  <dc:description/>
  <cp:keywords/>
  <cp:category/>
  <cp:lastModifiedBy>Unknown</cp:lastModifiedBy>
  <dcterms:created xsi:type="dcterms:W3CDTF">2026-06-22T00:00:00Z</dcterms:created>
  <dcterms:modified xsi:type="dcterms:W3CDTF">2026-06-22T19:32:58Z</dcterms:modified>
</cp:coreProperties>
</file>